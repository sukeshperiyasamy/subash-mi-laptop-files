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"/>
    </mc:Choice>
  </mc:AlternateContent>
  <xr:revisionPtr revIDLastSave="0" documentId="13_ncr:1_{EB2B5292-B8F7-4A24-AC08-5EC93A9F9A78}" xr6:coauthVersionLast="47" xr6:coauthVersionMax="47" xr10:uidLastSave="{00000000-0000-0000-0000-000000000000}"/>
  <bookViews>
    <workbookView xWindow="-103" yWindow="-103" windowWidth="22149" windowHeight="13200" xr2:uid="{BB9D4B77-44DD-49CB-A253-F1B48255B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0" i="1" l="1"/>
  <c r="F66" i="1"/>
  <c r="F58" i="1"/>
  <c r="D66" i="1"/>
  <c r="G64" i="1"/>
  <c r="G63" i="1"/>
  <c r="G62" i="1"/>
  <c r="G61" i="1"/>
  <c r="G66" i="1"/>
  <c r="D58" i="1"/>
  <c r="G57" i="1"/>
  <c r="G56" i="1"/>
  <c r="G55" i="1"/>
  <c r="G54" i="1"/>
  <c r="G53" i="1"/>
  <c r="G52" i="1"/>
  <c r="G51" i="1"/>
  <c r="G50" i="1"/>
  <c r="G49" i="1"/>
  <c r="G58" i="1" s="1"/>
  <c r="D47" i="1"/>
  <c r="G46" i="1"/>
  <c r="G45" i="1"/>
  <c r="G44" i="1"/>
  <c r="G43" i="1"/>
  <c r="G42" i="1"/>
  <c r="G41" i="1"/>
  <c r="G40" i="1"/>
  <c r="G39" i="1"/>
  <c r="G38" i="1"/>
  <c r="G47" i="1" s="1"/>
  <c r="F47" i="1" s="1"/>
  <c r="D36" i="1"/>
  <c r="G35" i="1"/>
  <c r="G34" i="1"/>
  <c r="G33" i="1"/>
  <c r="G32" i="1"/>
  <c r="G31" i="1"/>
  <c r="G30" i="1"/>
  <c r="G29" i="1"/>
  <c r="G28" i="1"/>
  <c r="G36" i="1" s="1"/>
  <c r="F36" i="1" s="1"/>
  <c r="D26" i="1"/>
  <c r="G25" i="1"/>
  <c r="G24" i="1"/>
  <c r="G23" i="1"/>
  <c r="G22" i="1"/>
  <c r="G21" i="1"/>
  <c r="G20" i="1"/>
  <c r="G19" i="1"/>
  <c r="G26" i="1" s="1"/>
  <c r="F26" i="1" s="1"/>
  <c r="G18" i="1"/>
  <c r="D16" i="1"/>
  <c r="G15" i="1"/>
  <c r="G14" i="1"/>
  <c r="G13" i="1"/>
  <c r="G12" i="1"/>
  <c r="G11" i="1"/>
  <c r="G10" i="1"/>
  <c r="G16" i="1" s="1"/>
  <c r="D8" i="1"/>
  <c r="G7" i="1"/>
  <c r="G6" i="1"/>
  <c r="G5" i="1"/>
  <c r="G4" i="1"/>
  <c r="G3" i="1"/>
  <c r="G2" i="1"/>
  <c r="G8" i="1" s="1"/>
  <c r="F59" i="1" s="1"/>
  <c r="F67" i="1" l="1"/>
  <c r="F37" i="1"/>
  <c r="F16" i="1"/>
  <c r="F48" i="1"/>
  <c r="F27" i="1"/>
  <c r="F17" i="1"/>
  <c r="F8" i="1"/>
  <c r="F9" i="1" s="1"/>
</calcChain>
</file>

<file path=xl/sharedStrings.xml><?xml version="1.0" encoding="utf-8"?>
<sst xmlns="http://schemas.openxmlformats.org/spreadsheetml/2006/main" count="173" uniqueCount="115">
  <si>
    <t xml:space="preserve">SEMESTER I </t>
  </si>
  <si>
    <t>SUB CODE</t>
  </si>
  <si>
    <t>SUBJECT CODE</t>
  </si>
  <si>
    <t>CREDIT</t>
  </si>
  <si>
    <t>GRADE</t>
  </si>
  <si>
    <t>GRADE POINT</t>
  </si>
  <si>
    <t>18LEH101J</t>
  </si>
  <si>
    <t>TECHNICAL ENGLISH</t>
  </si>
  <si>
    <t>B+</t>
  </si>
  <si>
    <t>18MAB101T</t>
  </si>
  <si>
    <t>CALCULUS AND LINEAR ALGEBRA</t>
  </si>
  <si>
    <t>18PYB101J</t>
  </si>
  <si>
    <t>PHYSICS</t>
  </si>
  <si>
    <t>A</t>
  </si>
  <si>
    <t>18CSS101J(R)</t>
  </si>
  <si>
    <t>PROGRAMMING FOR PROBLEM SOLVING</t>
  </si>
  <si>
    <t>18MES102J</t>
  </si>
  <si>
    <t>BASIC CIVIL AND MECHANICAL ENGINEERING</t>
  </si>
  <si>
    <t>18MBH101L</t>
  </si>
  <si>
    <t>PROFESSIONAL SKILLS AND PRACTICES</t>
  </si>
  <si>
    <t>SGPA</t>
  </si>
  <si>
    <t>CGPA</t>
  </si>
  <si>
    <t>18LEH102J</t>
  </si>
  <si>
    <t>PROFESSIONAL ENGLISH</t>
  </si>
  <si>
    <t>18MAB102T</t>
  </si>
  <si>
    <t>ADVANCED CALCULUS AND COMPLEX ANALYSIS</t>
  </si>
  <si>
    <t>B</t>
  </si>
  <si>
    <t>18CYB101J</t>
  </si>
  <si>
    <t>CHEMISTRY</t>
  </si>
  <si>
    <t>18MES101J</t>
  </si>
  <si>
    <t>ENGINEERING GRAPHICS</t>
  </si>
  <si>
    <t>18EES101J(R)</t>
  </si>
  <si>
    <t>BASIC ELECTRICAL AND ELECTRONICS ENGINEERING</t>
  </si>
  <si>
    <t>18MBH102L</t>
  </si>
  <si>
    <t>GENERAL APTITUDE</t>
  </si>
  <si>
    <t>18MAB202T</t>
  </si>
  <si>
    <t>PARTIAL DIFFERENTIAL EQUATIONS AND LINEAR ALGEBRA</t>
  </si>
  <si>
    <t>18ECS201J</t>
  </si>
  <si>
    <t>DIGITAL ELECTRONICS</t>
  </si>
  <si>
    <t>18ECC201T</t>
  </si>
  <si>
    <t>ELECTROMAGNETIC FIELDS</t>
  </si>
  <si>
    <t>18ECC202J</t>
  </si>
  <si>
    <t>ANALOG ELECTRONICS</t>
  </si>
  <si>
    <t>18ECC203T</t>
  </si>
  <si>
    <t>MEASUREMENTS AND INSTRUMENTATION</t>
  </si>
  <si>
    <t>18ECC204T</t>
  </si>
  <si>
    <t>NETWORK ANALYSIS AND SYNTHESIS</t>
  </si>
  <si>
    <t>18ECP103L</t>
  </si>
  <si>
    <t>MINOR PROJECT I</t>
  </si>
  <si>
    <t>O</t>
  </si>
  <si>
    <t>18MBM201L</t>
  </si>
  <si>
    <t xml:space="preserve">COMPETENCIES IN SOCIAL SKILLS </t>
  </si>
  <si>
    <t>18MAB205T</t>
  </si>
  <si>
    <t>PROBABILITY THEORY AND RANDOM PROCESSES</t>
  </si>
  <si>
    <t>18ITS201J</t>
  </si>
  <si>
    <t>DATA STRUCTURES AND OBJECT ORIENTED PROGRAMMING</t>
  </si>
  <si>
    <t>18ECC205J</t>
  </si>
  <si>
    <t>ANALOG INTEGRATED CIRCUITS</t>
  </si>
  <si>
    <t>18ECC206T</t>
  </si>
  <si>
    <t>TRANSMISSION LINES AND WAVEGUIDES</t>
  </si>
  <si>
    <t>18ECC207T</t>
  </si>
  <si>
    <t>SIGNALS AND SYSTEMS</t>
  </si>
  <si>
    <t>1BECC208J</t>
  </si>
  <si>
    <t>MICROPROCESSOR AND MICROCONTROLLER</t>
  </si>
  <si>
    <t>18ECP104L</t>
  </si>
  <si>
    <t>MINOR PROJECT II</t>
  </si>
  <si>
    <t>18MBM202L</t>
  </si>
  <si>
    <t>CRITICAL AND CREATIVE THINKING SKILLS</t>
  </si>
  <si>
    <t>18ECC301J</t>
  </si>
  <si>
    <t>DIGITAL SIGNAL PROCESSING</t>
  </si>
  <si>
    <t>18ECC302T</t>
  </si>
  <si>
    <t>ANTENNAS AND WAVE PROPAGATION</t>
  </si>
  <si>
    <t>18ECC303T</t>
  </si>
  <si>
    <t>ANALOG COMMUNICATION</t>
  </si>
  <si>
    <t>18ECE001J</t>
  </si>
  <si>
    <t>VLSI DESIGN</t>
  </si>
  <si>
    <t>18ECE036J</t>
  </si>
  <si>
    <t>DATABASE MANAGEMENT SYSTEMS</t>
  </si>
  <si>
    <t>18ITO002J</t>
  </si>
  <si>
    <t>JAVA PROGRAMMING</t>
  </si>
  <si>
    <t>18ECP105L</t>
  </si>
  <si>
    <t>MINOR PROJECT III</t>
  </si>
  <si>
    <t>18ECP101N</t>
  </si>
  <si>
    <t>MOOCI/INDUSTRIAL TRAINING I</t>
  </si>
  <si>
    <t>18MBM301L</t>
  </si>
  <si>
    <t>ANALYTICAL AND LOGICAL THINKING SKILLS</t>
  </si>
  <si>
    <t xml:space="preserve">18MBH201T  </t>
  </si>
  <si>
    <t>MANAGEMENT PRINCIPLES FOR ENGINEERS</t>
  </si>
  <si>
    <t>C</t>
  </si>
  <si>
    <t xml:space="preserve">18ECC304J </t>
  </si>
  <si>
    <t>DIGITAL COMMUNICATION</t>
  </si>
  <si>
    <t xml:space="preserve">18ECC305J </t>
  </si>
  <si>
    <t>MICROWAVE ENGINEERING</t>
  </si>
  <si>
    <t xml:space="preserve">18ECE005J </t>
  </si>
  <si>
    <t>COMPUTER NETWORKS</t>
  </si>
  <si>
    <t xml:space="preserve">18ECE038T </t>
  </si>
  <si>
    <t>PROFESIONAL ELECTIVE CC/BMI/DIP/PCB</t>
  </si>
  <si>
    <t>18ITO001J®</t>
  </si>
  <si>
    <t>PROBLEM SOLVING TECHNIQUES USING PYTHON</t>
  </si>
  <si>
    <t xml:space="preserve">18ECP106L </t>
  </si>
  <si>
    <t xml:space="preserve"> MINOR PROJECT IV</t>
  </si>
  <si>
    <t xml:space="preserve">18ECP102N </t>
  </si>
  <si>
    <t>MOOC II / INDUSTRIAL TRAINING II</t>
  </si>
  <si>
    <t xml:space="preserve">18MBM302L </t>
  </si>
  <si>
    <t>EMPLOYABILITY SKILLS AND PRACTICES</t>
  </si>
  <si>
    <t>SOCIAL ENGINEERING</t>
  </si>
  <si>
    <t>WIRELESS COMMUNICATION</t>
  </si>
  <si>
    <t>FIBER OPTIC COMMUNICATION</t>
  </si>
  <si>
    <t>ADHOC</t>
  </si>
  <si>
    <t>INDUSTRIAL SAFTY FOR ENGINEERES</t>
  </si>
  <si>
    <t>18MBH202T</t>
  </si>
  <si>
    <t>18ECC401T</t>
  </si>
  <si>
    <t>18ECE021T</t>
  </si>
  <si>
    <t>18ECE028T</t>
  </si>
  <si>
    <t>18MEO001T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</si>
</sst>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5" tint="-0.249977111117893"/>
      <name val="Calibri"/>
      <charset val="134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FB80-8AC9-4335-9DDE-985195D7356B}">
  <dimension ref="A1:G67"/>
  <sheetViews>
    <sheetView tabSelected="1" topLeftCell="A52" zoomScale="103" zoomScaleNormal="50" workbookViewId="0">
      <selection activeCell="D61" sqref="D61"/>
    </sheetView>
  </sheetViews>
  <sheetFormatPr defaultRowHeight="14.6"/>
  <cols>
    <col min="2" max="2" width="13" customWidth="1"/>
    <col min="3" max="3" width="54.3828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</row>
    <row r="2" spans="1:7">
      <c r="A2" s="4">
        <v>1</v>
      </c>
      <c r="B2" s="5" t="s">
        <v>6</v>
      </c>
      <c r="C2" s="5" t="s">
        <v>7</v>
      </c>
      <c r="D2" s="6">
        <v>3</v>
      </c>
      <c r="E2" s="7" t="s">
        <v>8</v>
      </c>
      <c r="F2" s="6">
        <v>7</v>
      </c>
      <c r="G2" s="4">
        <f>F2*D2</f>
        <v>21</v>
      </c>
    </row>
    <row r="3" spans="1:7">
      <c r="A3" s="4">
        <v>1</v>
      </c>
      <c r="B3" s="5" t="s">
        <v>9</v>
      </c>
      <c r="C3" s="5" t="s">
        <v>10</v>
      </c>
      <c r="D3" s="6">
        <v>4</v>
      </c>
      <c r="E3" s="7" t="s">
        <v>26</v>
      </c>
      <c r="F3" s="6">
        <v>6</v>
      </c>
      <c r="G3" s="4">
        <f t="shared" ref="G3:G7" si="0">F3*D3</f>
        <v>24</v>
      </c>
    </row>
    <row r="4" spans="1:7">
      <c r="A4" s="4">
        <v>1</v>
      </c>
      <c r="B4" s="5" t="s">
        <v>11</v>
      </c>
      <c r="C4" s="5" t="s">
        <v>12</v>
      </c>
      <c r="D4" s="6">
        <v>5</v>
      </c>
      <c r="E4" s="7" t="s">
        <v>13</v>
      </c>
      <c r="F4" s="6">
        <v>8</v>
      </c>
      <c r="G4" s="4">
        <f t="shared" si="0"/>
        <v>40</v>
      </c>
    </row>
    <row r="5" spans="1:7">
      <c r="A5" s="4">
        <v>1</v>
      </c>
      <c r="B5" s="5" t="s">
        <v>14</v>
      </c>
      <c r="C5" s="5" t="s">
        <v>15</v>
      </c>
      <c r="D5" s="6">
        <v>3</v>
      </c>
      <c r="E5" s="7" t="s">
        <v>13</v>
      </c>
      <c r="F5" s="6">
        <v>8</v>
      </c>
      <c r="G5" s="4">
        <f t="shared" si="0"/>
        <v>24</v>
      </c>
    </row>
    <row r="6" spans="1:7">
      <c r="A6" s="4">
        <v>1</v>
      </c>
      <c r="B6" s="5" t="s">
        <v>16</v>
      </c>
      <c r="C6" s="5" t="s">
        <v>17</v>
      </c>
      <c r="D6" s="6">
        <v>4</v>
      </c>
      <c r="E6" s="7" t="s">
        <v>13</v>
      </c>
      <c r="F6" s="6">
        <v>8</v>
      </c>
      <c r="G6" s="4">
        <f t="shared" si="0"/>
        <v>32</v>
      </c>
    </row>
    <row r="7" spans="1:7">
      <c r="A7" s="4">
        <v>1</v>
      </c>
      <c r="B7" s="5" t="s">
        <v>18</v>
      </c>
      <c r="C7" s="5" t="s">
        <v>19</v>
      </c>
      <c r="D7" s="6">
        <v>1</v>
      </c>
      <c r="E7" s="7" t="s">
        <v>13</v>
      </c>
      <c r="F7" s="6">
        <v>8</v>
      </c>
      <c r="G7" s="4">
        <f t="shared" si="0"/>
        <v>8</v>
      </c>
    </row>
    <row r="8" spans="1:7">
      <c r="A8" s="8"/>
      <c r="D8" s="9">
        <f>SUM(D2:D7)</f>
        <v>20</v>
      </c>
      <c r="E8" s="10" t="s">
        <v>20</v>
      </c>
      <c r="F8" s="11">
        <f>G8/D8</f>
        <v>7.45</v>
      </c>
      <c r="G8" s="12">
        <f>SUM(G2:G7)</f>
        <v>149</v>
      </c>
    </row>
    <row r="9" spans="1:7">
      <c r="A9" s="8"/>
      <c r="D9" s="13"/>
      <c r="E9" s="10" t="s">
        <v>21</v>
      </c>
      <c r="F9" s="11">
        <f>F8</f>
        <v>7.45</v>
      </c>
      <c r="G9" s="8"/>
    </row>
    <row r="10" spans="1:7">
      <c r="A10" s="4">
        <v>2</v>
      </c>
      <c r="B10" s="5" t="s">
        <v>22</v>
      </c>
      <c r="C10" s="5" t="s">
        <v>23</v>
      </c>
      <c r="D10" s="6">
        <v>3</v>
      </c>
      <c r="E10" s="7" t="s">
        <v>13</v>
      </c>
      <c r="F10" s="6">
        <v>8</v>
      </c>
      <c r="G10" s="4">
        <f>F10*D10</f>
        <v>24</v>
      </c>
    </row>
    <row r="11" spans="1:7">
      <c r="A11" s="4">
        <v>2</v>
      </c>
      <c r="B11" s="5" t="s">
        <v>24</v>
      </c>
      <c r="C11" s="5" t="s">
        <v>25</v>
      </c>
      <c r="D11" s="6">
        <v>4</v>
      </c>
      <c r="E11" s="7" t="s">
        <v>26</v>
      </c>
      <c r="F11" s="6">
        <v>6</v>
      </c>
      <c r="G11" s="4">
        <f t="shared" ref="G11:G15" si="1">F11*D11</f>
        <v>24</v>
      </c>
    </row>
    <row r="12" spans="1:7">
      <c r="A12" s="4">
        <v>2</v>
      </c>
      <c r="B12" s="5" t="s">
        <v>27</v>
      </c>
      <c r="C12" s="5" t="s">
        <v>28</v>
      </c>
      <c r="D12" s="6">
        <v>5</v>
      </c>
      <c r="E12" s="7" t="s">
        <v>8</v>
      </c>
      <c r="F12" s="6">
        <v>7</v>
      </c>
      <c r="G12" s="4">
        <f t="shared" si="1"/>
        <v>35</v>
      </c>
    </row>
    <row r="13" spans="1:7">
      <c r="A13" s="4">
        <v>2</v>
      </c>
      <c r="B13" s="5" t="s">
        <v>29</v>
      </c>
      <c r="C13" s="5" t="s">
        <v>30</v>
      </c>
      <c r="D13" s="6">
        <v>3</v>
      </c>
      <c r="E13" s="7" t="s">
        <v>13</v>
      </c>
      <c r="F13" s="6">
        <v>8</v>
      </c>
      <c r="G13" s="4">
        <f t="shared" si="1"/>
        <v>24</v>
      </c>
    </row>
    <row r="14" spans="1:7">
      <c r="A14" s="4">
        <v>2</v>
      </c>
      <c r="B14" s="5" t="s">
        <v>31</v>
      </c>
      <c r="C14" s="5" t="s">
        <v>32</v>
      </c>
      <c r="D14" s="6">
        <v>4</v>
      </c>
      <c r="E14" s="7" t="s">
        <v>8</v>
      </c>
      <c r="F14" s="6">
        <v>7</v>
      </c>
      <c r="G14" s="4">
        <f t="shared" si="1"/>
        <v>28</v>
      </c>
    </row>
    <row r="15" spans="1:7">
      <c r="A15" s="4">
        <v>2</v>
      </c>
      <c r="B15" s="5" t="s">
        <v>33</v>
      </c>
      <c r="C15" s="5" t="s">
        <v>34</v>
      </c>
      <c r="D15" s="6">
        <v>1</v>
      </c>
      <c r="E15" s="7" t="s">
        <v>8</v>
      </c>
      <c r="F15" s="6">
        <v>7</v>
      </c>
      <c r="G15" s="4">
        <f t="shared" si="1"/>
        <v>7</v>
      </c>
    </row>
    <row r="16" spans="1:7">
      <c r="D16" s="12">
        <f>SUM(D10:D15)</f>
        <v>20</v>
      </c>
      <c r="E16" s="10" t="s">
        <v>20</v>
      </c>
      <c r="F16" s="11">
        <f>G16/D16</f>
        <v>7.1</v>
      </c>
      <c r="G16" s="12">
        <f>SUM(G10:G15)</f>
        <v>142</v>
      </c>
    </row>
    <row r="17" spans="1:7">
      <c r="E17" s="10" t="s">
        <v>21</v>
      </c>
      <c r="F17" s="11">
        <f>((G8+G16)/(D8+D16))</f>
        <v>7.2750000000000004</v>
      </c>
    </row>
    <row r="18" spans="1:7">
      <c r="A18" s="4">
        <v>3</v>
      </c>
      <c r="B18" s="5" t="s">
        <v>35</v>
      </c>
      <c r="C18" s="5" t="s">
        <v>36</v>
      </c>
      <c r="D18" s="6">
        <v>4</v>
      </c>
      <c r="E18" s="7" t="s">
        <v>8</v>
      </c>
      <c r="F18" s="6">
        <v>7</v>
      </c>
      <c r="G18" s="4">
        <f>D18*F18</f>
        <v>28</v>
      </c>
    </row>
    <row r="19" spans="1:7">
      <c r="A19" s="4">
        <v>3</v>
      </c>
      <c r="B19" s="5" t="s">
        <v>37</v>
      </c>
      <c r="C19" s="5" t="s">
        <v>38</v>
      </c>
      <c r="D19" s="6">
        <v>4</v>
      </c>
      <c r="E19" s="7" t="s">
        <v>8</v>
      </c>
      <c r="F19" s="6">
        <v>7</v>
      </c>
      <c r="G19" s="4">
        <f t="shared" ref="G19:G25" si="2">D19*F19</f>
        <v>28</v>
      </c>
    </row>
    <row r="20" spans="1:7">
      <c r="A20" s="4">
        <v>3</v>
      </c>
      <c r="B20" s="5" t="s">
        <v>39</v>
      </c>
      <c r="C20" s="5" t="s">
        <v>40</v>
      </c>
      <c r="D20" s="6">
        <v>3</v>
      </c>
      <c r="E20" s="7" t="s">
        <v>13</v>
      </c>
      <c r="F20" s="6">
        <v>8</v>
      </c>
      <c r="G20" s="4">
        <f t="shared" si="2"/>
        <v>24</v>
      </c>
    </row>
    <row r="21" spans="1:7">
      <c r="A21" s="4">
        <v>3</v>
      </c>
      <c r="B21" s="5" t="s">
        <v>41</v>
      </c>
      <c r="C21" s="5" t="s">
        <v>42</v>
      </c>
      <c r="D21" s="6">
        <v>4</v>
      </c>
      <c r="E21" s="7" t="s">
        <v>26</v>
      </c>
      <c r="F21" s="6">
        <v>6</v>
      </c>
      <c r="G21" s="4">
        <f t="shared" si="2"/>
        <v>24</v>
      </c>
    </row>
    <row r="22" spans="1:7">
      <c r="A22" s="4">
        <v>3</v>
      </c>
      <c r="B22" s="5" t="s">
        <v>43</v>
      </c>
      <c r="C22" s="5" t="s">
        <v>44</v>
      </c>
      <c r="D22" s="6">
        <v>3</v>
      </c>
      <c r="E22" s="7" t="s">
        <v>8</v>
      </c>
      <c r="F22" s="6">
        <v>7</v>
      </c>
      <c r="G22" s="4">
        <f t="shared" si="2"/>
        <v>21</v>
      </c>
    </row>
    <row r="23" spans="1:7">
      <c r="A23" s="4">
        <v>3</v>
      </c>
      <c r="B23" s="5" t="s">
        <v>45</v>
      </c>
      <c r="C23" s="5" t="s">
        <v>46</v>
      </c>
      <c r="D23" s="6">
        <v>3</v>
      </c>
      <c r="E23" s="7" t="s">
        <v>8</v>
      </c>
      <c r="F23" s="6">
        <v>7</v>
      </c>
      <c r="G23" s="4">
        <f t="shared" si="2"/>
        <v>21</v>
      </c>
    </row>
    <row r="24" spans="1:7">
      <c r="A24" s="4">
        <v>3</v>
      </c>
      <c r="B24" s="5" t="s">
        <v>47</v>
      </c>
      <c r="C24" s="5" t="s">
        <v>48</v>
      </c>
      <c r="D24" s="6">
        <v>1</v>
      </c>
      <c r="E24" s="7" t="s">
        <v>49</v>
      </c>
      <c r="F24" s="6">
        <v>10</v>
      </c>
      <c r="G24" s="4">
        <f t="shared" si="2"/>
        <v>10</v>
      </c>
    </row>
    <row r="25" spans="1:7">
      <c r="A25" s="4">
        <v>3</v>
      </c>
      <c r="B25" s="5" t="s">
        <v>50</v>
      </c>
      <c r="C25" s="5" t="s">
        <v>51</v>
      </c>
      <c r="D25" s="6">
        <v>1</v>
      </c>
      <c r="E25" s="7" t="s">
        <v>13</v>
      </c>
      <c r="F25" s="6">
        <v>8</v>
      </c>
      <c r="G25" s="4">
        <f t="shared" si="2"/>
        <v>8</v>
      </c>
    </row>
    <row r="26" spans="1:7">
      <c r="D26" s="12">
        <f>SUM(D18:D25)</f>
        <v>23</v>
      </c>
      <c r="E26" s="14" t="s">
        <v>20</v>
      </c>
      <c r="F26" s="11">
        <f>G26/D26</f>
        <v>7.1304347826086953</v>
      </c>
      <c r="G26" s="4">
        <f>SUM(G18:G25)</f>
        <v>164</v>
      </c>
    </row>
    <row r="27" spans="1:7">
      <c r="E27" s="15" t="s">
        <v>21</v>
      </c>
      <c r="F27" s="16">
        <f>(G16+G8+G26)/(D8+D16+D26)</f>
        <v>7.2222222222222223</v>
      </c>
    </row>
    <row r="28" spans="1:7">
      <c r="A28" s="4">
        <v>4</v>
      </c>
      <c r="B28" s="5" t="s">
        <v>52</v>
      </c>
      <c r="C28" s="5" t="s">
        <v>53</v>
      </c>
      <c r="D28" s="6">
        <v>4</v>
      </c>
      <c r="E28" s="7" t="s">
        <v>26</v>
      </c>
      <c r="F28" s="6">
        <v>6</v>
      </c>
      <c r="G28" s="4">
        <f>D28*F28</f>
        <v>24</v>
      </c>
    </row>
    <row r="29" spans="1:7">
      <c r="A29" s="4">
        <v>4</v>
      </c>
      <c r="B29" s="5" t="s">
        <v>54</v>
      </c>
      <c r="C29" s="5" t="s">
        <v>55</v>
      </c>
      <c r="D29" s="6">
        <v>4</v>
      </c>
      <c r="E29" s="7" t="s">
        <v>26</v>
      </c>
      <c r="F29" s="6">
        <v>6</v>
      </c>
      <c r="G29" s="4">
        <f t="shared" ref="G29:G35" si="3">D29*F29</f>
        <v>24</v>
      </c>
    </row>
    <row r="30" spans="1:7">
      <c r="A30" s="4">
        <v>4</v>
      </c>
      <c r="B30" s="5" t="s">
        <v>56</v>
      </c>
      <c r="C30" s="5" t="s">
        <v>57</v>
      </c>
      <c r="D30" s="6">
        <v>4</v>
      </c>
      <c r="E30" s="7" t="s">
        <v>8</v>
      </c>
      <c r="F30" s="6">
        <v>7</v>
      </c>
      <c r="G30" s="4">
        <f t="shared" si="3"/>
        <v>28</v>
      </c>
    </row>
    <row r="31" spans="1:7">
      <c r="A31" s="4">
        <v>4</v>
      </c>
      <c r="B31" s="5" t="s">
        <v>58</v>
      </c>
      <c r="C31" s="5" t="s">
        <v>59</v>
      </c>
      <c r="D31" s="6">
        <v>4</v>
      </c>
      <c r="E31" s="7" t="s">
        <v>13</v>
      </c>
      <c r="F31" s="6">
        <v>8</v>
      </c>
      <c r="G31" s="4">
        <f t="shared" si="3"/>
        <v>32</v>
      </c>
    </row>
    <row r="32" spans="1:7">
      <c r="A32" s="4">
        <v>4</v>
      </c>
      <c r="B32" s="5" t="s">
        <v>60</v>
      </c>
      <c r="C32" s="5" t="s">
        <v>61</v>
      </c>
      <c r="D32" s="6">
        <v>4</v>
      </c>
      <c r="E32" s="7" t="s">
        <v>8</v>
      </c>
      <c r="F32" s="6">
        <v>7</v>
      </c>
      <c r="G32" s="4">
        <f t="shared" si="3"/>
        <v>28</v>
      </c>
    </row>
    <row r="33" spans="1:7">
      <c r="A33" s="4">
        <v>4</v>
      </c>
      <c r="B33" s="5" t="s">
        <v>62</v>
      </c>
      <c r="C33" s="5" t="s">
        <v>63</v>
      </c>
      <c r="D33" s="6">
        <v>4</v>
      </c>
      <c r="E33" s="7" t="s">
        <v>13</v>
      </c>
      <c r="F33" s="6">
        <v>8</v>
      </c>
      <c r="G33" s="4">
        <f t="shared" si="3"/>
        <v>32</v>
      </c>
    </row>
    <row r="34" spans="1:7">
      <c r="A34" s="4">
        <v>4</v>
      </c>
      <c r="B34" s="5" t="s">
        <v>64</v>
      </c>
      <c r="C34" s="5" t="s">
        <v>65</v>
      </c>
      <c r="D34" s="6">
        <v>1</v>
      </c>
      <c r="E34" s="7" t="s">
        <v>49</v>
      </c>
      <c r="F34" s="6">
        <v>10</v>
      </c>
      <c r="G34" s="4">
        <f t="shared" si="3"/>
        <v>10</v>
      </c>
    </row>
    <row r="35" spans="1:7">
      <c r="A35" s="4">
        <v>4</v>
      </c>
      <c r="B35" s="5" t="s">
        <v>66</v>
      </c>
      <c r="C35" s="5" t="s">
        <v>67</v>
      </c>
      <c r="D35" s="6">
        <v>1</v>
      </c>
      <c r="E35" s="7" t="s">
        <v>13</v>
      </c>
      <c r="F35" s="6">
        <v>8</v>
      </c>
      <c r="G35" s="4">
        <f t="shared" si="3"/>
        <v>8</v>
      </c>
    </row>
    <row r="36" spans="1:7">
      <c r="A36" s="8"/>
      <c r="D36" s="12">
        <f>SUM(D28:D35)</f>
        <v>26</v>
      </c>
      <c r="E36" s="14" t="s">
        <v>20</v>
      </c>
      <c r="F36" s="11">
        <f>G36/D36</f>
        <v>7.1538461538461542</v>
      </c>
      <c r="G36" s="12">
        <f>SUM(G28:G35)</f>
        <v>186</v>
      </c>
    </row>
    <row r="37" spans="1:7">
      <c r="E37" s="17" t="s">
        <v>21</v>
      </c>
      <c r="F37" s="11">
        <f>(G16+G8+G26+G36)/(D8+D16+D26+D36)</f>
        <v>7.202247191011236</v>
      </c>
    </row>
    <row r="38" spans="1:7">
      <c r="A38" s="4">
        <v>5</v>
      </c>
      <c r="B38" s="5" t="s">
        <v>68</v>
      </c>
      <c r="C38" s="5" t="s">
        <v>69</v>
      </c>
      <c r="D38" s="6">
        <v>4</v>
      </c>
      <c r="E38" s="7" t="s">
        <v>13</v>
      </c>
      <c r="F38" s="18">
        <v>8</v>
      </c>
      <c r="G38" s="4">
        <f>D38*F38</f>
        <v>32</v>
      </c>
    </row>
    <row r="39" spans="1:7">
      <c r="A39" s="4">
        <v>5</v>
      </c>
      <c r="B39" s="5" t="s">
        <v>70</v>
      </c>
      <c r="C39" s="5" t="s">
        <v>71</v>
      </c>
      <c r="D39" s="6">
        <v>3</v>
      </c>
      <c r="E39" s="7" t="s">
        <v>26</v>
      </c>
      <c r="F39" s="18">
        <v>6</v>
      </c>
      <c r="G39" s="4">
        <f t="shared" ref="G39:G46" si="4">D39*F39</f>
        <v>18</v>
      </c>
    </row>
    <row r="40" spans="1:7">
      <c r="A40" s="4">
        <v>5</v>
      </c>
      <c r="B40" s="5" t="s">
        <v>72</v>
      </c>
      <c r="C40" s="5" t="s">
        <v>73</v>
      </c>
      <c r="D40" s="6">
        <v>3</v>
      </c>
      <c r="E40" s="7" t="s">
        <v>8</v>
      </c>
      <c r="F40" s="18">
        <v>7</v>
      </c>
      <c r="G40" s="4">
        <f t="shared" si="4"/>
        <v>21</v>
      </c>
    </row>
    <row r="41" spans="1:7">
      <c r="A41" s="4">
        <v>5</v>
      </c>
      <c r="B41" s="5" t="s">
        <v>74</v>
      </c>
      <c r="C41" s="5" t="s">
        <v>75</v>
      </c>
      <c r="D41" s="6">
        <v>4</v>
      </c>
      <c r="E41" s="7" t="s">
        <v>8</v>
      </c>
      <c r="F41" s="18">
        <v>7</v>
      </c>
      <c r="G41" s="4">
        <f t="shared" si="4"/>
        <v>28</v>
      </c>
    </row>
    <row r="42" spans="1:7">
      <c r="A42" s="4">
        <v>5</v>
      </c>
      <c r="B42" s="5" t="s">
        <v>76</v>
      </c>
      <c r="C42" s="5" t="s">
        <v>77</v>
      </c>
      <c r="D42" s="6">
        <v>3</v>
      </c>
      <c r="E42" s="7" t="s">
        <v>8</v>
      </c>
      <c r="F42" s="18">
        <v>7</v>
      </c>
      <c r="G42" s="4">
        <f t="shared" si="4"/>
        <v>21</v>
      </c>
    </row>
    <row r="43" spans="1:7">
      <c r="A43" s="4">
        <v>5</v>
      </c>
      <c r="B43" s="5" t="s">
        <v>78</v>
      </c>
      <c r="C43" s="5" t="s">
        <v>79</v>
      </c>
      <c r="D43" s="6">
        <v>3</v>
      </c>
      <c r="E43" s="7" t="s">
        <v>8</v>
      </c>
      <c r="F43" s="18">
        <v>7</v>
      </c>
      <c r="G43" s="4">
        <f t="shared" si="4"/>
        <v>21</v>
      </c>
    </row>
    <row r="44" spans="1:7">
      <c r="A44" s="4">
        <v>5</v>
      </c>
      <c r="B44" s="5" t="s">
        <v>80</v>
      </c>
      <c r="C44" s="5" t="s">
        <v>81</v>
      </c>
      <c r="D44" s="6">
        <v>1</v>
      </c>
      <c r="E44" s="7" t="s">
        <v>49</v>
      </c>
      <c r="F44" s="18">
        <v>10</v>
      </c>
      <c r="G44" s="4">
        <f t="shared" si="4"/>
        <v>10</v>
      </c>
    </row>
    <row r="45" spans="1:7">
      <c r="A45" s="4">
        <v>5</v>
      </c>
      <c r="B45" s="5" t="s">
        <v>82</v>
      </c>
      <c r="C45" s="5" t="s">
        <v>83</v>
      </c>
      <c r="D45" s="6">
        <v>1</v>
      </c>
      <c r="E45" s="6" t="s">
        <v>49</v>
      </c>
      <c r="F45" s="18">
        <v>10</v>
      </c>
      <c r="G45" s="4">
        <f t="shared" si="4"/>
        <v>10</v>
      </c>
    </row>
    <row r="46" spans="1:7">
      <c r="A46" s="4">
        <v>5</v>
      </c>
      <c r="B46" s="5" t="s">
        <v>84</v>
      </c>
      <c r="C46" s="5" t="s">
        <v>85</v>
      </c>
      <c r="D46" s="6">
        <v>1</v>
      </c>
      <c r="E46" s="7" t="s">
        <v>13</v>
      </c>
      <c r="F46" s="18">
        <v>8</v>
      </c>
      <c r="G46" s="4">
        <f t="shared" si="4"/>
        <v>8</v>
      </c>
    </row>
    <row r="47" spans="1:7">
      <c r="D47" s="12">
        <f>SUM(D38:D46)</f>
        <v>23</v>
      </c>
      <c r="E47" s="14" t="s">
        <v>20</v>
      </c>
      <c r="F47" s="11">
        <f>G47/D47</f>
        <v>7.3478260869565215</v>
      </c>
      <c r="G47" s="19">
        <f>SUM(G38:G46)</f>
        <v>169</v>
      </c>
    </row>
    <row r="48" spans="1:7">
      <c r="E48" s="20" t="s">
        <v>21</v>
      </c>
      <c r="F48" s="16">
        <f>(G16+G8+G26+G36+G47)/(D8+D16+D26+D36+D47)</f>
        <v>7.2321428571428568</v>
      </c>
    </row>
    <row r="49" spans="1:7">
      <c r="A49" s="4">
        <v>6</v>
      </c>
      <c r="B49" s="5" t="s">
        <v>86</v>
      </c>
      <c r="C49" s="5" t="s">
        <v>87</v>
      </c>
      <c r="D49" s="6">
        <v>2</v>
      </c>
      <c r="E49" s="6" t="s">
        <v>88</v>
      </c>
      <c r="F49" s="6">
        <v>5</v>
      </c>
      <c r="G49" s="4">
        <f>D49*F49</f>
        <v>10</v>
      </c>
    </row>
    <row r="50" spans="1:7">
      <c r="A50" s="4">
        <v>6</v>
      </c>
      <c r="B50" s="5" t="s">
        <v>89</v>
      </c>
      <c r="C50" s="5" t="s">
        <v>90</v>
      </c>
      <c r="D50" s="6">
        <v>4</v>
      </c>
      <c r="E50" s="6" t="s">
        <v>13</v>
      </c>
      <c r="F50" s="6">
        <v>8</v>
      </c>
      <c r="G50" s="4">
        <f t="shared" ref="G50:G57" si="5">D50*F50</f>
        <v>32</v>
      </c>
    </row>
    <row r="51" spans="1:7">
      <c r="A51" s="4">
        <v>6</v>
      </c>
      <c r="B51" s="5" t="s">
        <v>91</v>
      </c>
      <c r="C51" s="5" t="s">
        <v>92</v>
      </c>
      <c r="D51" s="6">
        <v>4</v>
      </c>
      <c r="E51" s="6" t="s">
        <v>13</v>
      </c>
      <c r="F51" s="6">
        <v>8</v>
      </c>
      <c r="G51" s="4">
        <f t="shared" si="5"/>
        <v>32</v>
      </c>
    </row>
    <row r="52" spans="1:7">
      <c r="A52" s="4">
        <v>6</v>
      </c>
      <c r="B52" s="5" t="s">
        <v>93</v>
      </c>
      <c r="C52" s="5" t="s">
        <v>94</v>
      </c>
      <c r="D52" s="6">
        <v>4</v>
      </c>
      <c r="E52" s="6" t="s">
        <v>8</v>
      </c>
      <c r="F52" s="6">
        <v>7</v>
      </c>
      <c r="G52" s="4">
        <f t="shared" si="5"/>
        <v>28</v>
      </c>
    </row>
    <row r="53" spans="1:7">
      <c r="A53" s="4">
        <v>6</v>
      </c>
      <c r="B53" s="5" t="s">
        <v>95</v>
      </c>
      <c r="C53" s="5" t="s">
        <v>96</v>
      </c>
      <c r="D53" s="6">
        <v>3</v>
      </c>
      <c r="E53" s="6" t="s">
        <v>8</v>
      </c>
      <c r="F53" s="6">
        <v>7</v>
      </c>
      <c r="G53" s="4">
        <f t="shared" si="5"/>
        <v>21</v>
      </c>
    </row>
    <row r="54" spans="1:7">
      <c r="A54" s="4">
        <v>6</v>
      </c>
      <c r="B54" s="5" t="s">
        <v>97</v>
      </c>
      <c r="C54" s="5" t="s">
        <v>98</v>
      </c>
      <c r="D54" s="6">
        <v>3</v>
      </c>
      <c r="E54" s="6" t="s">
        <v>13</v>
      </c>
      <c r="F54" s="6">
        <v>8</v>
      </c>
      <c r="G54" s="4">
        <f t="shared" si="5"/>
        <v>24</v>
      </c>
    </row>
    <row r="55" spans="1:7">
      <c r="A55" s="4">
        <v>6</v>
      </c>
      <c r="B55" s="5" t="s">
        <v>99</v>
      </c>
      <c r="C55" s="5" t="s">
        <v>100</v>
      </c>
      <c r="D55" s="6">
        <v>1</v>
      </c>
      <c r="E55" s="6" t="s">
        <v>49</v>
      </c>
      <c r="F55" s="6">
        <v>10</v>
      </c>
      <c r="G55" s="4">
        <f t="shared" si="5"/>
        <v>10</v>
      </c>
    </row>
    <row r="56" spans="1:7">
      <c r="A56" s="4">
        <v>6</v>
      </c>
      <c r="B56" s="5" t="s">
        <v>101</v>
      </c>
      <c r="C56" s="5" t="s">
        <v>102</v>
      </c>
      <c r="D56" s="6">
        <v>1</v>
      </c>
      <c r="E56" s="6" t="s">
        <v>49</v>
      </c>
      <c r="F56" s="6">
        <v>10</v>
      </c>
      <c r="G56" s="4">
        <f t="shared" si="5"/>
        <v>10</v>
      </c>
    </row>
    <row r="57" spans="1:7">
      <c r="A57" s="4">
        <v>6</v>
      </c>
      <c r="B57" s="5" t="s">
        <v>103</v>
      </c>
      <c r="C57" s="5" t="s">
        <v>104</v>
      </c>
      <c r="D57" s="6">
        <v>1</v>
      </c>
      <c r="E57" s="6" t="s">
        <v>13</v>
      </c>
      <c r="F57" s="6">
        <v>8</v>
      </c>
      <c r="G57" s="4">
        <f t="shared" si="5"/>
        <v>8</v>
      </c>
    </row>
    <row r="58" spans="1:7">
      <c r="A58" s="21"/>
      <c r="B58" s="21"/>
      <c r="C58" s="21"/>
      <c r="D58" s="12">
        <f>SUM(D49:D57)</f>
        <v>23</v>
      </c>
      <c r="E58" s="14" t="s">
        <v>20</v>
      </c>
      <c r="F58" s="11">
        <f>G58/D58</f>
        <v>7.6086956521739131</v>
      </c>
      <c r="G58" s="12">
        <f>SUM(G49:G57)</f>
        <v>175</v>
      </c>
    </row>
    <row r="59" spans="1:7">
      <c r="A59" s="21"/>
      <c r="B59" s="21"/>
      <c r="C59" s="21"/>
      <c r="E59" s="15" t="s">
        <v>21</v>
      </c>
      <c r="F59" s="16">
        <f>(G16+G8+G26+G36+G47+G58)/(D8+D16+D26+D36+D47+D58)</f>
        <v>7.2962962962962967</v>
      </c>
    </row>
    <row r="60" spans="1:7">
      <c r="A60" s="6">
        <v>7</v>
      </c>
      <c r="B60" s="3" t="s">
        <v>110</v>
      </c>
      <c r="C60" s="3" t="s">
        <v>105</v>
      </c>
      <c r="D60" s="6">
        <v>2</v>
      </c>
      <c r="E60" s="6" t="s">
        <v>13</v>
      </c>
      <c r="F60" s="6">
        <v>8</v>
      </c>
      <c r="G60" s="6">
        <f>F60*D60</f>
        <v>16</v>
      </c>
    </row>
    <row r="61" spans="1:7">
      <c r="A61" s="6">
        <v>7</v>
      </c>
      <c r="B61" s="3" t="s">
        <v>111</v>
      </c>
      <c r="C61" s="3" t="s">
        <v>106</v>
      </c>
      <c r="D61" s="6">
        <v>3</v>
      </c>
      <c r="E61" s="6" t="s">
        <v>8</v>
      </c>
      <c r="F61" s="6">
        <v>7</v>
      </c>
      <c r="G61" s="6">
        <f t="shared" ref="G61:G64" si="6">F61*D61</f>
        <v>21</v>
      </c>
    </row>
    <row r="62" spans="1:7">
      <c r="A62" s="6">
        <v>7</v>
      </c>
      <c r="B62" s="3" t="s">
        <v>112</v>
      </c>
      <c r="C62" s="3" t="s">
        <v>107</v>
      </c>
      <c r="D62" s="6">
        <v>4</v>
      </c>
      <c r="E62" s="6" t="s">
        <v>8</v>
      </c>
      <c r="F62" s="6">
        <v>7</v>
      </c>
      <c r="G62" s="6">
        <f t="shared" si="6"/>
        <v>28</v>
      </c>
    </row>
    <row r="63" spans="1:7">
      <c r="A63" s="6">
        <v>7</v>
      </c>
      <c r="B63" s="3" t="s">
        <v>113</v>
      </c>
      <c r="C63" s="3" t="s">
        <v>108</v>
      </c>
      <c r="D63" s="6">
        <v>3</v>
      </c>
      <c r="E63" s="6" t="s">
        <v>8</v>
      </c>
      <c r="F63" s="6">
        <v>7</v>
      </c>
      <c r="G63" s="6">
        <f t="shared" si="6"/>
        <v>21</v>
      </c>
    </row>
    <row r="64" spans="1:7">
      <c r="A64" s="6">
        <v>7</v>
      </c>
      <c r="B64" s="3" t="s">
        <v>114</v>
      </c>
      <c r="C64" s="3" t="s">
        <v>109</v>
      </c>
      <c r="D64" s="6">
        <v>3</v>
      </c>
      <c r="E64" s="6" t="s">
        <v>8</v>
      </c>
      <c r="F64" s="6">
        <v>7</v>
      </c>
      <c r="G64" s="6">
        <f t="shared" si="6"/>
        <v>21</v>
      </c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23">
        <f>SUM(D60:D65)</f>
        <v>15</v>
      </c>
      <c r="E66" s="22" t="s">
        <v>20</v>
      </c>
      <c r="F66" s="24">
        <f>G66/D66</f>
        <v>7.1333333333333337</v>
      </c>
      <c r="G66" s="23">
        <f>SUM(G60:G65)</f>
        <v>107</v>
      </c>
    </row>
    <row r="67" spans="1:7">
      <c r="E67" s="22" t="s">
        <v>21</v>
      </c>
      <c r="F67" s="24">
        <f>(G16+G8+G26+G36+G47+G58+G66)/(D8+D16+D26+D36+D47+D58+D66)</f>
        <v>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2025-03-26T07:37:49Z</dcterms:created>
  <dcterms:modified xsi:type="dcterms:W3CDTF">2025-03-27T13:16:16Z</dcterms:modified>
</cp:coreProperties>
</file>