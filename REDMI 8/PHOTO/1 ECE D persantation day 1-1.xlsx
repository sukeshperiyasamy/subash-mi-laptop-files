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tion mark" sheetId="1" r:id="rId4"/>
    <sheet state="visible" name="internal consoli" sheetId="2" r:id="rId5"/>
  </sheets>
  <definedNames/>
  <calcPr/>
</workbook>
</file>

<file path=xl/sharedStrings.xml><?xml version="1.0" encoding="utf-8"?>
<sst xmlns="http://schemas.openxmlformats.org/spreadsheetml/2006/main" count="272" uniqueCount="154">
  <si>
    <t>total</t>
  </si>
  <si>
    <t>927621BEC022</t>
  </si>
  <si>
    <t>BALAJI N</t>
  </si>
  <si>
    <t>927621BEC032</t>
  </si>
  <si>
    <t>DHANAJA R</t>
  </si>
  <si>
    <t>927621BEC192</t>
  </si>
  <si>
    <t>SATHYA P</t>
  </si>
  <si>
    <t>927621BEC193</t>
  </si>
  <si>
    <t>SETHUPRIAN V M</t>
  </si>
  <si>
    <t>927621BEC194</t>
  </si>
  <si>
    <t>SHALINI S</t>
  </si>
  <si>
    <t>927621BEC195</t>
  </si>
  <si>
    <t>SHANJAY R K</t>
  </si>
  <si>
    <t>927621BEC196</t>
  </si>
  <si>
    <t>SHARATH C</t>
  </si>
  <si>
    <t>927621BEC197</t>
  </si>
  <si>
    <t>SHARMILA S</t>
  </si>
  <si>
    <t>927621BEC198</t>
  </si>
  <si>
    <t>SHOBIKA S</t>
  </si>
  <si>
    <t>927621BEC199</t>
  </si>
  <si>
    <t>SIBI V B</t>
  </si>
  <si>
    <t>927621BEC200</t>
  </si>
  <si>
    <t>SIVAPRIYA S</t>
  </si>
  <si>
    <t>927621BEC201</t>
  </si>
  <si>
    <t>SIVARAMAKRISHNAN M</t>
  </si>
  <si>
    <t>927621BEC202</t>
  </si>
  <si>
    <t>SNEHA R</t>
  </si>
  <si>
    <t>927621BEC203</t>
  </si>
  <si>
    <t>927621BEC204</t>
  </si>
  <si>
    <t>927621BEC205</t>
  </si>
  <si>
    <t>SOBIYA T</t>
  </si>
  <si>
    <t>927621BEC207</t>
  </si>
  <si>
    <t>SOWMIGA B</t>
  </si>
  <si>
    <t>927621BEC208</t>
  </si>
  <si>
    <t>SREVARSHINE S</t>
  </si>
  <si>
    <t>927621BEC209</t>
  </si>
  <si>
    <t>SRI VELAN M</t>
  </si>
  <si>
    <t>927621BEC210</t>
  </si>
  <si>
    <t>SRIDHAR R C</t>
  </si>
  <si>
    <t>927621BEC211</t>
  </si>
  <si>
    <t>SRIHARI M</t>
  </si>
  <si>
    <t>927621BEC212</t>
  </si>
  <si>
    <t>SRUTHIKAA K V</t>
  </si>
  <si>
    <t>927621BEC213</t>
  </si>
  <si>
    <t>SUBASH P</t>
  </si>
  <si>
    <t>927621BEC214</t>
  </si>
  <si>
    <t>SUBASH S</t>
  </si>
  <si>
    <t>927621BEC215</t>
  </si>
  <si>
    <t>927621BEC216</t>
  </si>
  <si>
    <t>SUBASHINI M</t>
  </si>
  <si>
    <t>927621BEC217</t>
  </si>
  <si>
    <t>SUBASREE S</t>
  </si>
  <si>
    <t>927621BEC218</t>
  </si>
  <si>
    <t>SUBHASH K</t>
  </si>
  <si>
    <t>927621BEC219</t>
  </si>
  <si>
    <t>SUDHARSUN S</t>
  </si>
  <si>
    <t>927621BEC220</t>
  </si>
  <si>
    <t>SUGANYADEVI S</t>
  </si>
  <si>
    <t>927621BEC221</t>
  </si>
  <si>
    <t>SUJIT M</t>
  </si>
  <si>
    <t>927621BEC222</t>
  </si>
  <si>
    <t>SUJITHA V</t>
  </si>
  <si>
    <t>927621BEC223</t>
  </si>
  <si>
    <t>SUNMATHI S</t>
  </si>
  <si>
    <t>927621BEC224</t>
  </si>
  <si>
    <t>SURIYA N</t>
  </si>
  <si>
    <t>927621BEC225</t>
  </si>
  <si>
    <t>SWATHIKA P B</t>
  </si>
  <si>
    <t>927621BEC226</t>
  </si>
  <si>
    <t>TEJNITHISH S</t>
  </si>
  <si>
    <t>927621BEC227</t>
  </si>
  <si>
    <t>THANUSHYA R P R</t>
  </si>
  <si>
    <t>927621BEC228</t>
  </si>
  <si>
    <t>THARUNIGA A M</t>
  </si>
  <si>
    <t>927621BEC229</t>
  </si>
  <si>
    <t>THARUNKUMAR R B</t>
  </si>
  <si>
    <t>927621BEC230</t>
  </si>
  <si>
    <t>THIRISHA G</t>
  </si>
  <si>
    <t>927621BEC231</t>
  </si>
  <si>
    <t>THIRUPUKAL G</t>
  </si>
  <si>
    <t>927621BEC232</t>
  </si>
  <si>
    <t>VAISHALI K</t>
  </si>
  <si>
    <t>927621BEC233</t>
  </si>
  <si>
    <t>VAISRI S</t>
  </si>
  <si>
    <t>927621BEC234</t>
  </si>
  <si>
    <t>VASANTH P</t>
  </si>
  <si>
    <t>927621BEC235</t>
  </si>
  <si>
    <t>VASHANTH S P</t>
  </si>
  <si>
    <t>927621BEC236</t>
  </si>
  <si>
    <t>VASUKI M</t>
  </si>
  <si>
    <t>927621BEC237</t>
  </si>
  <si>
    <t>VASUNTHRA P</t>
  </si>
  <si>
    <t>927621BEC238</t>
  </si>
  <si>
    <t>VENKAT RAMAN P</t>
  </si>
  <si>
    <t>927621BEC239</t>
  </si>
  <si>
    <t>VIDHYA SHREE S</t>
  </si>
  <si>
    <t>927621BEC240</t>
  </si>
  <si>
    <t>VIGNESHWARAN S</t>
  </si>
  <si>
    <t>927621BEC241</t>
  </si>
  <si>
    <t>VINOTHA P</t>
  </si>
  <si>
    <t>927621BEC242</t>
  </si>
  <si>
    <t>VISHAL G</t>
  </si>
  <si>
    <t>927621BEC243</t>
  </si>
  <si>
    <t>VISHWA S</t>
  </si>
  <si>
    <t>927621BEC244</t>
  </si>
  <si>
    <t>YAKSHINI M</t>
  </si>
  <si>
    <t>927621BEC245</t>
  </si>
  <si>
    <t>YASAR S</t>
  </si>
  <si>
    <t>927621BEC246</t>
  </si>
  <si>
    <t>YOGESHWARAN S</t>
  </si>
  <si>
    <t>927621BEC247</t>
  </si>
  <si>
    <t>YUVA PRABHA B</t>
  </si>
  <si>
    <t>927621BEC248</t>
  </si>
  <si>
    <t>YUVA SARAVANAN S</t>
  </si>
  <si>
    <t>927621BEC249</t>
  </si>
  <si>
    <t>YUVAN SANKAR RAJA S</t>
  </si>
  <si>
    <t>927621BEC250</t>
  </si>
  <si>
    <t>YUVANSANKARRAJA S</t>
  </si>
  <si>
    <t>927621BEC251</t>
  </si>
  <si>
    <t>YUVARAJ S</t>
  </si>
  <si>
    <t>927621BEC252</t>
  </si>
  <si>
    <t>YUVASHREE R</t>
  </si>
  <si>
    <t>Mid 1</t>
  </si>
  <si>
    <t>Mid2</t>
  </si>
  <si>
    <t>Preparatory</t>
  </si>
  <si>
    <t>Assignment</t>
  </si>
  <si>
    <t>Presentation</t>
  </si>
  <si>
    <t>MCQ</t>
  </si>
  <si>
    <t>Total</t>
  </si>
  <si>
    <t>Total
 Roundoff</t>
  </si>
  <si>
    <t>S.NO</t>
  </si>
  <si>
    <t>Register No</t>
  </si>
  <si>
    <t>User Name</t>
  </si>
  <si>
    <t>conducted</t>
  </si>
  <si>
    <t>converted</t>
  </si>
  <si>
    <t>SETHUPRIAN  V.M</t>
  </si>
  <si>
    <t>SHANJAY R.K</t>
  </si>
  <si>
    <t>SIBI V.B</t>
  </si>
  <si>
    <t xml:space="preserve"> SIVAPRIYA S</t>
  </si>
  <si>
    <t>SIVARAMAKRISHNAN  M</t>
  </si>
  <si>
    <t>SRIDHAR R.C</t>
  </si>
  <si>
    <t>SRUTHIKAA  K.V</t>
  </si>
  <si>
    <t xml:space="preserve"> SUBASH S</t>
  </si>
  <si>
    <t>SUBASREE  S</t>
  </si>
  <si>
    <t>SUGANYA DEVI S</t>
  </si>
  <si>
    <t>SWATHIKA P.B</t>
  </si>
  <si>
    <t>THANUSHYA R.P.R</t>
  </si>
  <si>
    <t>THARUNIGA A.M</t>
  </si>
  <si>
    <t>THARUNKUMAR R.B</t>
  </si>
  <si>
    <t>VASANTH  P</t>
  </si>
  <si>
    <t>VASHANTH S.P</t>
  </si>
  <si>
    <t>VIGNESHWARAN  S</t>
  </si>
  <si>
    <t>YUVAPRABHA B</t>
  </si>
  <si>
    <t xml:space="preserve">927621BEC252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</si>
</sst>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b/>
      <sz val="11.0"/>
      <color rgb="FF000000"/>
      <name val="Calibri"/>
    </font>
    <font>
      <sz val="11.0"/>
      <color rgb="FF000000"/>
      <name val="Times New Roman"/>
    </font>
    <font>
      <sz val="11.0"/>
      <color rgb="FF000000"/>
      <name val="Trebuchet MS"/>
    </font>
    <font>
      <b/>
      <sz val="12.0"/>
      <color rgb="FF00000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2" fillId="2" fontId="0" numFmtId="0" xfId="0" applyAlignment="1" applyBorder="1" applyFont="1">
      <alignment horizontal="center"/>
    </xf>
    <xf borderId="2" fillId="2" fontId="2" numFmtId="0" xfId="0" applyAlignment="1" applyBorder="1" applyFont="1">
      <alignment horizontal="left" shrinkToFit="0" wrapText="1"/>
    </xf>
    <xf borderId="2" fillId="2" fontId="0" numFmtId="1" xfId="0" applyAlignment="1" applyBorder="1" applyFont="1" applyNumberFormat="1">
      <alignment horizontal="center"/>
    </xf>
    <xf borderId="1" fillId="2" fontId="0" numFmtId="0" xfId="0" applyAlignment="1" applyBorder="1" applyFont="1">
      <alignment horizontal="center"/>
    </xf>
    <xf borderId="2" fillId="3" fontId="0" numFmtId="1" xfId="0" applyAlignment="1" applyBorder="1" applyFill="1" applyFont="1" applyNumberFormat="1">
      <alignment horizontal="center"/>
    </xf>
    <xf borderId="1" fillId="2" fontId="2" numFmtId="0" xfId="0" applyAlignment="1" applyBorder="1" applyFont="1">
      <alignment horizontal="left" shrinkToFit="0" wrapText="1"/>
    </xf>
    <xf borderId="2" fillId="2" fontId="3" numFmtId="0" xfId="0" applyAlignment="1" applyBorder="1" applyFont="1">
      <alignment horizontal="left"/>
    </xf>
    <xf borderId="1" fillId="2" fontId="0" numFmtId="0" xfId="0" applyAlignment="1" applyBorder="1" applyFont="1">
      <alignment horizontal="left"/>
    </xf>
    <xf borderId="1" fillId="2" fontId="4" numFmtId="0" xfId="0" applyBorder="1" applyFont="1"/>
    <xf borderId="0" fillId="0" fontId="0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5" numFmtId="0" xfId="0" applyBorder="1" applyFont="1"/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7" fillId="0" fontId="5" numFmtId="0" xfId="0" applyBorder="1" applyFont="1"/>
    <xf borderId="2" fillId="2" fontId="0" numFmtId="0" xfId="0" applyAlignment="1" applyBorder="1" applyFont="1">
      <alignment horizontal="center" vertical="center"/>
    </xf>
    <xf borderId="2" fillId="0" fontId="0" numFmtId="0" xfId="0" applyAlignment="1" applyBorder="1" applyFont="1">
      <alignment horizontal="center" vertical="center"/>
    </xf>
    <xf borderId="2" fillId="0" fontId="0" numFmtId="2" xfId="0" applyAlignment="1" applyBorder="1" applyFont="1" applyNumberFormat="1">
      <alignment horizontal="center" vertical="center"/>
    </xf>
    <xf borderId="2" fillId="2" fontId="0" numFmtId="1" xfId="0" applyAlignment="1" applyBorder="1" applyFont="1" applyNumberFormat="1">
      <alignment horizontal="center" vertical="center"/>
    </xf>
    <xf borderId="2" fillId="0" fontId="0" numFmtId="1" xfId="0" applyAlignment="1" applyBorder="1" applyFont="1" applyNumberFormat="1">
      <alignment horizontal="center" vertical="center"/>
    </xf>
    <xf borderId="2" fillId="3" fontId="0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0" cy="4857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0" cy="4953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6.14"/>
    <col customWidth="1" min="3" max="11" width="8.86"/>
  </cols>
  <sheetData>
    <row r="1">
      <c r="A1" s="1"/>
      <c r="B1" s="2"/>
      <c r="C1" s="1" t="s">
        <v>0</v>
      </c>
      <c r="D1" s="1"/>
      <c r="E1" s="1"/>
      <c r="F1" s="1"/>
      <c r="G1" s="1"/>
      <c r="H1" s="1"/>
      <c r="I1" s="1"/>
      <c r="J1" s="1"/>
      <c r="K1" s="1"/>
    </row>
    <row r="2" ht="15.0" customHeight="1">
      <c r="A2" s="3" t="s">
        <v>1</v>
      </c>
      <c r="B2" s="4" t="s">
        <v>2</v>
      </c>
      <c r="C2" s="5">
        <v>87.0</v>
      </c>
      <c r="D2" s="6"/>
      <c r="E2" s="6"/>
      <c r="F2" s="6"/>
      <c r="G2" s="6"/>
      <c r="H2" s="6"/>
      <c r="I2" s="6"/>
      <c r="J2" s="6"/>
      <c r="K2" s="6"/>
    </row>
    <row r="3" ht="15.0" customHeight="1">
      <c r="A3" s="3" t="s">
        <v>3</v>
      </c>
      <c r="B3" s="4" t="s">
        <v>4</v>
      </c>
      <c r="C3" s="5">
        <v>90.0</v>
      </c>
      <c r="D3" s="6"/>
      <c r="E3" s="6"/>
      <c r="F3" s="6"/>
      <c r="G3" s="6"/>
      <c r="H3" s="6"/>
      <c r="I3" s="6"/>
      <c r="J3" s="6"/>
      <c r="K3" s="6"/>
    </row>
    <row r="4" ht="15.0" customHeight="1">
      <c r="A4" s="3" t="s">
        <v>5</v>
      </c>
      <c r="B4" s="4" t="s">
        <v>6</v>
      </c>
      <c r="C4" s="5">
        <v>98.0</v>
      </c>
      <c r="D4" s="6"/>
      <c r="E4" s="6"/>
      <c r="F4" s="6"/>
      <c r="G4" s="6"/>
      <c r="H4" s="6"/>
      <c r="I4" s="6"/>
      <c r="J4" s="6"/>
      <c r="K4" s="6"/>
    </row>
    <row r="5" ht="15.0" customHeight="1">
      <c r="A5" s="3" t="s">
        <v>7</v>
      </c>
      <c r="B5" s="4" t="s">
        <v>8</v>
      </c>
      <c r="C5" s="5">
        <v>85.66666666666667</v>
      </c>
      <c r="D5" s="6"/>
      <c r="E5" s="6"/>
      <c r="F5" s="6"/>
      <c r="G5" s="6"/>
      <c r="H5" s="6"/>
      <c r="I5" s="6"/>
      <c r="J5" s="6"/>
      <c r="K5" s="6"/>
    </row>
    <row r="6" ht="15.0" customHeight="1">
      <c r="A6" s="3" t="s">
        <v>9</v>
      </c>
      <c r="B6" s="4" t="s">
        <v>10</v>
      </c>
      <c r="C6" s="5">
        <v>92.33333333333334</v>
      </c>
      <c r="D6" s="6"/>
      <c r="E6" s="6"/>
      <c r="F6" s="6"/>
      <c r="G6" s="6"/>
      <c r="H6" s="6"/>
      <c r="I6" s="6"/>
      <c r="J6" s="6"/>
      <c r="K6" s="6"/>
    </row>
    <row r="7" ht="15.0" customHeight="1">
      <c r="A7" s="3" t="s">
        <v>11</v>
      </c>
      <c r="B7" s="4" t="s">
        <v>12</v>
      </c>
      <c r="C7" s="7">
        <v>85.0</v>
      </c>
      <c r="D7" s="6"/>
      <c r="E7" s="6"/>
      <c r="F7" s="6"/>
      <c r="G7" s="6"/>
      <c r="H7" s="6"/>
      <c r="I7" s="6"/>
      <c r="J7" s="6"/>
      <c r="K7" s="6"/>
    </row>
    <row r="8" ht="15.0" customHeight="1">
      <c r="A8" s="3" t="s">
        <v>13</v>
      </c>
      <c r="B8" s="4" t="s">
        <v>14</v>
      </c>
      <c r="C8" s="5">
        <v>88.0</v>
      </c>
      <c r="D8" s="6"/>
      <c r="E8" s="6"/>
      <c r="F8" s="6"/>
      <c r="G8" s="6"/>
      <c r="H8" s="6"/>
      <c r="I8" s="6"/>
      <c r="J8" s="6"/>
      <c r="K8" s="6"/>
    </row>
    <row r="9" ht="15.0" customHeight="1">
      <c r="A9" s="3" t="s">
        <v>15</v>
      </c>
      <c r="B9" s="4" t="s">
        <v>16</v>
      </c>
      <c r="C9" s="5">
        <v>87.66666666666666</v>
      </c>
      <c r="D9" s="6"/>
      <c r="E9" s="6"/>
      <c r="F9" s="6"/>
      <c r="G9" s="6"/>
      <c r="H9" s="6"/>
      <c r="I9" s="6"/>
      <c r="J9" s="6"/>
      <c r="K9" s="6"/>
    </row>
    <row r="10" ht="15.0" customHeight="1">
      <c r="A10" s="3" t="s">
        <v>17</v>
      </c>
      <c r="B10" s="4" t="s">
        <v>18</v>
      </c>
      <c r="C10" s="5">
        <v>87.66666666666667</v>
      </c>
      <c r="D10" s="6"/>
      <c r="E10" s="6"/>
      <c r="F10" s="6"/>
      <c r="G10" s="6"/>
      <c r="H10" s="6"/>
      <c r="I10" s="6"/>
      <c r="J10" s="6"/>
      <c r="K10" s="6"/>
    </row>
    <row r="11" ht="15.0" customHeight="1">
      <c r="A11" s="3" t="s">
        <v>19</v>
      </c>
      <c r="B11" s="4" t="s">
        <v>20</v>
      </c>
      <c r="C11" s="5">
        <v>90.0</v>
      </c>
      <c r="D11" s="6"/>
      <c r="E11" s="6"/>
      <c r="F11" s="6"/>
      <c r="G11" s="6"/>
      <c r="H11" s="6"/>
      <c r="I11" s="6"/>
      <c r="J11" s="6"/>
      <c r="K11" s="6"/>
    </row>
    <row r="12" ht="15.0" customHeight="1">
      <c r="A12" s="3" t="s">
        <v>21</v>
      </c>
      <c r="B12" s="4" t="s">
        <v>22</v>
      </c>
      <c r="C12" s="5">
        <v>100.0</v>
      </c>
      <c r="D12" s="6"/>
      <c r="E12" s="6"/>
      <c r="F12" s="6"/>
      <c r="G12" s="6"/>
      <c r="H12" s="6"/>
      <c r="I12" s="6"/>
      <c r="J12" s="6"/>
      <c r="K12" s="6"/>
    </row>
    <row r="13" ht="15.0" customHeight="1">
      <c r="A13" s="3" t="s">
        <v>23</v>
      </c>
      <c r="B13" s="4" t="s">
        <v>24</v>
      </c>
      <c r="C13" s="5">
        <v>100.0</v>
      </c>
      <c r="D13" s="6"/>
      <c r="E13" s="6"/>
      <c r="F13" s="6"/>
      <c r="G13" s="6"/>
      <c r="H13" s="6"/>
      <c r="I13" s="6"/>
      <c r="J13" s="6"/>
      <c r="K13" s="6"/>
    </row>
    <row r="14" ht="15.0" customHeight="1">
      <c r="A14" s="3" t="s">
        <v>25</v>
      </c>
      <c r="B14" s="4" t="s">
        <v>26</v>
      </c>
      <c r="C14" s="5">
        <v>88.33333333333334</v>
      </c>
      <c r="D14" s="6"/>
      <c r="E14" s="6"/>
      <c r="F14" s="6"/>
      <c r="G14" s="6"/>
      <c r="H14" s="6"/>
      <c r="I14" s="6"/>
      <c r="J14" s="6"/>
      <c r="K14" s="6"/>
    </row>
    <row r="15" ht="15.0" customHeight="1">
      <c r="A15" s="3" t="s">
        <v>27</v>
      </c>
      <c r="B15" s="4" t="s">
        <v>26</v>
      </c>
      <c r="C15" s="5">
        <v>89.0</v>
      </c>
      <c r="D15" s="6"/>
      <c r="E15" s="6"/>
      <c r="F15" s="6"/>
      <c r="G15" s="6"/>
      <c r="H15" s="6"/>
      <c r="I15" s="6"/>
      <c r="J15" s="6"/>
      <c r="K15" s="6"/>
    </row>
    <row r="16" ht="15.0" customHeight="1">
      <c r="A16" s="3" t="s">
        <v>28</v>
      </c>
      <c r="B16" s="4" t="s">
        <v>26</v>
      </c>
      <c r="C16" s="5">
        <v>85.66666666666666</v>
      </c>
      <c r="D16" s="6"/>
      <c r="E16" s="6"/>
      <c r="F16" s="6"/>
      <c r="G16" s="6"/>
      <c r="H16" s="6"/>
      <c r="I16" s="6"/>
      <c r="J16" s="6"/>
      <c r="K16" s="6"/>
    </row>
    <row r="17" ht="15.0" customHeight="1">
      <c r="A17" s="3" t="s">
        <v>29</v>
      </c>
      <c r="B17" s="4" t="s">
        <v>30</v>
      </c>
      <c r="C17" s="5">
        <v>100.0</v>
      </c>
      <c r="D17" s="6"/>
      <c r="E17" s="6"/>
      <c r="F17" s="6"/>
      <c r="G17" s="6"/>
      <c r="H17" s="6"/>
      <c r="I17" s="6"/>
      <c r="J17" s="6"/>
      <c r="K17" s="6"/>
    </row>
    <row r="18" ht="15.0" customHeight="1">
      <c r="A18" s="3" t="s">
        <v>31</v>
      </c>
      <c r="B18" s="4" t="s">
        <v>32</v>
      </c>
      <c r="C18" s="5">
        <v>86.33333333333334</v>
      </c>
      <c r="D18" s="6"/>
      <c r="E18" s="6"/>
      <c r="F18" s="6"/>
      <c r="G18" s="6"/>
      <c r="H18" s="6"/>
      <c r="I18" s="6"/>
      <c r="J18" s="6"/>
      <c r="K18" s="6"/>
    </row>
    <row r="19" ht="15.0" customHeight="1">
      <c r="A19" s="3" t="s">
        <v>33</v>
      </c>
      <c r="B19" s="4" t="s">
        <v>34</v>
      </c>
      <c r="C19" s="5">
        <v>83.66666666666666</v>
      </c>
      <c r="D19" s="6"/>
      <c r="E19" s="6"/>
      <c r="F19" s="6"/>
      <c r="G19" s="6"/>
      <c r="H19" s="6"/>
      <c r="I19" s="6"/>
      <c r="J19" s="6"/>
      <c r="K19" s="6"/>
    </row>
    <row r="20" ht="15.0" customHeight="1">
      <c r="A20" s="3" t="s">
        <v>35</v>
      </c>
      <c r="B20" s="4" t="s">
        <v>36</v>
      </c>
      <c r="C20" s="5">
        <v>90.0</v>
      </c>
      <c r="D20" s="6"/>
      <c r="E20" s="6"/>
      <c r="F20" s="6"/>
      <c r="G20" s="6"/>
      <c r="H20" s="6"/>
      <c r="I20" s="6"/>
      <c r="J20" s="6"/>
      <c r="K20" s="6"/>
    </row>
    <row r="21" ht="15.0" customHeight="1">
      <c r="A21" s="3" t="s">
        <v>37</v>
      </c>
      <c r="B21" s="4" t="s">
        <v>38</v>
      </c>
      <c r="C21" s="5">
        <v>100.0</v>
      </c>
      <c r="D21" s="6"/>
      <c r="E21" s="6"/>
      <c r="F21" s="6"/>
      <c r="G21" s="6"/>
      <c r="H21" s="6"/>
      <c r="I21" s="6"/>
      <c r="J21" s="6"/>
      <c r="K21" s="6"/>
    </row>
    <row r="22" ht="15.0" customHeight="1">
      <c r="A22" s="3" t="s">
        <v>39</v>
      </c>
      <c r="B22" s="4" t="s">
        <v>40</v>
      </c>
      <c r="C22" s="5">
        <v>100.0</v>
      </c>
      <c r="D22" s="6"/>
      <c r="E22" s="6"/>
      <c r="F22" s="6"/>
      <c r="G22" s="6"/>
      <c r="H22" s="6"/>
      <c r="I22" s="6"/>
      <c r="J22" s="6"/>
      <c r="K22" s="6"/>
    </row>
    <row r="23" ht="15.0" customHeight="1">
      <c r="A23" s="3" t="s">
        <v>41</v>
      </c>
      <c r="B23" s="4" t="s">
        <v>42</v>
      </c>
      <c r="C23" s="5">
        <v>100.0</v>
      </c>
      <c r="D23" s="6"/>
      <c r="E23" s="6"/>
      <c r="F23" s="6"/>
      <c r="G23" s="6"/>
      <c r="H23" s="6"/>
      <c r="I23" s="6"/>
      <c r="J23" s="6"/>
      <c r="K23" s="6"/>
    </row>
    <row r="24" ht="15.0" customHeight="1">
      <c r="A24" s="3" t="s">
        <v>43</v>
      </c>
      <c r="B24" s="4" t="s">
        <v>44</v>
      </c>
      <c r="C24" s="5">
        <v>100.0</v>
      </c>
      <c r="D24" s="6"/>
      <c r="E24" s="6"/>
      <c r="F24" s="6"/>
      <c r="G24" s="6"/>
      <c r="H24" s="6"/>
      <c r="I24" s="6"/>
      <c r="J24" s="6"/>
      <c r="K24" s="6"/>
    </row>
    <row r="25" ht="15.0" customHeight="1">
      <c r="A25" s="3" t="s">
        <v>45</v>
      </c>
      <c r="B25" s="4" t="s">
        <v>46</v>
      </c>
      <c r="C25" s="5">
        <v>86.0</v>
      </c>
      <c r="D25" s="6"/>
      <c r="E25" s="6"/>
      <c r="F25" s="6"/>
      <c r="G25" s="6"/>
      <c r="H25" s="6"/>
      <c r="I25" s="6"/>
      <c r="J25" s="6"/>
      <c r="K25" s="6"/>
    </row>
    <row r="26" ht="15.0" customHeight="1">
      <c r="A26" s="3" t="s">
        <v>47</v>
      </c>
      <c r="B26" s="4" t="s">
        <v>46</v>
      </c>
      <c r="C26" s="5">
        <v>95.0</v>
      </c>
      <c r="D26" s="6"/>
      <c r="E26" s="6"/>
      <c r="F26" s="6"/>
      <c r="G26" s="6"/>
      <c r="H26" s="6"/>
      <c r="I26" s="6"/>
      <c r="J26" s="6"/>
      <c r="K26" s="6"/>
    </row>
    <row r="27" ht="15.0" customHeight="1">
      <c r="A27" s="3" t="s">
        <v>48</v>
      </c>
      <c r="B27" s="4" t="s">
        <v>49</v>
      </c>
      <c r="C27" s="5">
        <v>85.0</v>
      </c>
      <c r="D27" s="6"/>
      <c r="E27" s="6"/>
      <c r="F27" s="6"/>
      <c r="G27" s="6"/>
      <c r="H27" s="6"/>
      <c r="I27" s="6"/>
      <c r="J27" s="6"/>
      <c r="K27" s="6"/>
    </row>
    <row r="28" ht="15.0" customHeight="1">
      <c r="A28" s="3" t="s">
        <v>50</v>
      </c>
      <c r="B28" s="4" t="s">
        <v>51</v>
      </c>
      <c r="C28" s="5">
        <v>98.33333333333333</v>
      </c>
      <c r="D28" s="6"/>
      <c r="E28" s="6"/>
      <c r="F28" s="6"/>
      <c r="G28" s="6"/>
      <c r="H28" s="6"/>
      <c r="I28" s="6"/>
      <c r="J28" s="6"/>
      <c r="K28" s="6"/>
    </row>
    <row r="29" ht="15.0" customHeight="1">
      <c r="A29" s="3" t="s">
        <v>52</v>
      </c>
      <c r="B29" s="4" t="s">
        <v>53</v>
      </c>
      <c r="C29" s="5">
        <v>90.0</v>
      </c>
      <c r="D29" s="6"/>
      <c r="E29" s="6"/>
      <c r="F29" s="6"/>
      <c r="G29" s="6"/>
      <c r="H29" s="6"/>
      <c r="I29" s="6"/>
      <c r="J29" s="6"/>
      <c r="K29" s="6"/>
    </row>
    <row r="30" ht="15.0" customHeight="1">
      <c r="A30" s="3" t="s">
        <v>54</v>
      </c>
      <c r="B30" s="4" t="s">
        <v>55</v>
      </c>
      <c r="C30" s="5">
        <v>95.0</v>
      </c>
      <c r="D30" s="6"/>
      <c r="E30" s="6"/>
      <c r="F30" s="6"/>
      <c r="G30" s="6"/>
      <c r="H30" s="6"/>
      <c r="I30" s="6"/>
      <c r="J30" s="6"/>
      <c r="K30" s="6"/>
    </row>
    <row r="31" ht="15.0" customHeight="1">
      <c r="A31" s="3" t="s">
        <v>56</v>
      </c>
      <c r="B31" s="4" t="s">
        <v>57</v>
      </c>
      <c r="C31" s="5">
        <v>99.0</v>
      </c>
      <c r="D31" s="6"/>
      <c r="E31" s="6"/>
      <c r="F31" s="6"/>
      <c r="G31" s="6"/>
      <c r="H31" s="6"/>
      <c r="I31" s="6"/>
      <c r="J31" s="6"/>
      <c r="K31" s="6"/>
    </row>
    <row r="32" ht="15.0" customHeight="1">
      <c r="A32" s="3" t="s">
        <v>58</v>
      </c>
      <c r="B32" s="4" t="s">
        <v>59</v>
      </c>
      <c r="C32" s="5">
        <v>89.0</v>
      </c>
      <c r="D32" s="6"/>
      <c r="E32" s="6"/>
      <c r="F32" s="6"/>
      <c r="G32" s="6"/>
      <c r="H32" s="6"/>
      <c r="I32" s="6"/>
      <c r="J32" s="6"/>
      <c r="K32" s="6"/>
    </row>
    <row r="33" ht="16.5" customHeight="1">
      <c r="A33" s="3" t="s">
        <v>60</v>
      </c>
      <c r="B33" s="4" t="s">
        <v>61</v>
      </c>
      <c r="C33" s="5">
        <v>98.66666666666667</v>
      </c>
      <c r="D33" s="6"/>
      <c r="E33" s="6"/>
      <c r="F33" s="6"/>
      <c r="G33" s="6"/>
      <c r="H33" s="6"/>
      <c r="I33" s="6"/>
      <c r="J33" s="6"/>
      <c r="K33" s="6"/>
    </row>
    <row r="34" ht="15.0" customHeight="1">
      <c r="A34" s="3" t="s">
        <v>62</v>
      </c>
      <c r="B34" s="4" t="s">
        <v>63</v>
      </c>
      <c r="C34" s="5">
        <v>87.66666666666666</v>
      </c>
      <c r="D34" s="6"/>
      <c r="E34" s="6"/>
      <c r="F34" s="6"/>
      <c r="G34" s="6"/>
      <c r="H34" s="6"/>
      <c r="I34" s="6"/>
      <c r="J34" s="6"/>
      <c r="K34" s="6"/>
    </row>
    <row r="35" ht="15.0" customHeight="1">
      <c r="A35" s="3" t="s">
        <v>64</v>
      </c>
      <c r="B35" s="4" t="s">
        <v>65</v>
      </c>
      <c r="C35" s="5">
        <v>83.33333333333334</v>
      </c>
      <c r="D35" s="6"/>
      <c r="E35" s="6"/>
      <c r="F35" s="6"/>
      <c r="G35" s="6"/>
      <c r="H35" s="6"/>
      <c r="I35" s="6"/>
      <c r="J35" s="6"/>
      <c r="K35" s="6"/>
    </row>
    <row r="36" ht="15.0" customHeight="1">
      <c r="A36" s="3" t="s">
        <v>66</v>
      </c>
      <c r="B36" s="4" t="s">
        <v>67</v>
      </c>
      <c r="C36" s="5">
        <v>92.0</v>
      </c>
      <c r="D36" s="6"/>
      <c r="E36" s="6"/>
      <c r="F36" s="6"/>
      <c r="G36" s="6"/>
      <c r="H36" s="6"/>
      <c r="I36" s="6"/>
      <c r="J36" s="6"/>
      <c r="K36" s="6"/>
    </row>
    <row r="37" ht="15.0" customHeight="1">
      <c r="A37" s="3" t="s">
        <v>68</v>
      </c>
      <c r="B37" s="4" t="s">
        <v>69</v>
      </c>
      <c r="C37" s="5">
        <v>90.66666666666666</v>
      </c>
      <c r="D37" s="6"/>
      <c r="E37" s="6"/>
      <c r="F37" s="6"/>
      <c r="G37" s="6"/>
      <c r="H37" s="6"/>
      <c r="I37" s="6"/>
      <c r="J37" s="6"/>
      <c r="K37" s="6"/>
    </row>
    <row r="38" ht="15.0" customHeight="1">
      <c r="A38" s="3" t="s">
        <v>70</v>
      </c>
      <c r="B38" s="4" t="s">
        <v>71</v>
      </c>
      <c r="C38" s="5">
        <v>87.0</v>
      </c>
      <c r="D38" s="6"/>
      <c r="E38" s="6"/>
      <c r="F38" s="6"/>
      <c r="G38" s="6"/>
      <c r="H38" s="6"/>
      <c r="I38" s="6"/>
      <c r="J38" s="6"/>
      <c r="K38" s="6"/>
    </row>
    <row r="39" ht="16.5" customHeight="1">
      <c r="A39" s="3" t="s">
        <v>72</v>
      </c>
      <c r="B39" s="4" t="s">
        <v>73</v>
      </c>
      <c r="C39" s="5">
        <v>87.0</v>
      </c>
      <c r="D39" s="6"/>
      <c r="E39" s="6"/>
      <c r="F39" s="6"/>
      <c r="G39" s="6"/>
      <c r="H39" s="6"/>
      <c r="I39" s="6"/>
      <c r="J39" s="6"/>
      <c r="K39" s="6"/>
    </row>
    <row r="40" ht="15.0" customHeight="1">
      <c r="A40" s="3" t="s">
        <v>74</v>
      </c>
      <c r="B40" s="4" t="s">
        <v>75</v>
      </c>
      <c r="C40" s="5">
        <v>88.0</v>
      </c>
      <c r="D40" s="6"/>
      <c r="E40" s="6"/>
      <c r="F40" s="6"/>
      <c r="G40" s="6"/>
      <c r="H40" s="6"/>
      <c r="I40" s="6"/>
      <c r="J40" s="6"/>
      <c r="K40" s="6"/>
    </row>
    <row r="41" ht="15.0" customHeight="1">
      <c r="A41" s="3" t="s">
        <v>76</v>
      </c>
      <c r="B41" s="4" t="s">
        <v>77</v>
      </c>
      <c r="C41" s="5">
        <v>86.0</v>
      </c>
      <c r="D41" s="6"/>
      <c r="E41" s="6"/>
      <c r="F41" s="6"/>
      <c r="G41" s="6"/>
      <c r="H41" s="6"/>
      <c r="I41" s="6"/>
      <c r="J41" s="6"/>
      <c r="K41" s="6"/>
    </row>
    <row r="42" ht="15.0" customHeight="1">
      <c r="A42" s="3" t="s">
        <v>78</v>
      </c>
      <c r="B42" s="4" t="s">
        <v>79</v>
      </c>
      <c r="C42" s="5">
        <v>100.0</v>
      </c>
      <c r="D42" s="6"/>
      <c r="E42" s="6"/>
      <c r="F42" s="6"/>
      <c r="G42" s="6"/>
      <c r="H42" s="6"/>
      <c r="I42" s="6"/>
      <c r="J42" s="6"/>
      <c r="K42" s="6"/>
    </row>
    <row r="43" ht="15.0" customHeight="1">
      <c r="A43" s="3" t="s">
        <v>80</v>
      </c>
      <c r="B43" s="4" t="s">
        <v>81</v>
      </c>
      <c r="C43" s="5">
        <v>100.0</v>
      </c>
      <c r="D43" s="6"/>
      <c r="E43" s="6"/>
      <c r="F43" s="6"/>
      <c r="G43" s="6"/>
      <c r="H43" s="6"/>
      <c r="I43" s="6"/>
      <c r="J43" s="6"/>
      <c r="K43" s="6"/>
    </row>
    <row r="44" ht="15.0" customHeight="1">
      <c r="A44" s="3" t="s">
        <v>82</v>
      </c>
      <c r="B44" s="4" t="s">
        <v>83</v>
      </c>
      <c r="C44" s="5">
        <v>98.0</v>
      </c>
      <c r="D44" s="6"/>
      <c r="E44" s="6"/>
      <c r="F44" s="6"/>
      <c r="G44" s="6"/>
      <c r="H44" s="6"/>
      <c r="I44" s="6"/>
      <c r="J44" s="6"/>
      <c r="K44" s="6"/>
    </row>
    <row r="45" ht="15.0" customHeight="1">
      <c r="A45" s="3" t="s">
        <v>84</v>
      </c>
      <c r="B45" s="4" t="s">
        <v>85</v>
      </c>
      <c r="C45" s="5">
        <v>100.0</v>
      </c>
      <c r="D45" s="6"/>
      <c r="E45" s="6"/>
      <c r="F45" s="6"/>
      <c r="G45" s="6"/>
      <c r="H45" s="6"/>
      <c r="I45" s="6"/>
      <c r="J45" s="6"/>
      <c r="K45" s="6"/>
    </row>
    <row r="46" ht="16.5" customHeight="1">
      <c r="A46" s="3" t="s">
        <v>86</v>
      </c>
      <c r="B46" s="4" t="s">
        <v>87</v>
      </c>
      <c r="C46" s="5">
        <v>93.0</v>
      </c>
      <c r="D46" s="6"/>
      <c r="E46" s="6"/>
      <c r="F46" s="6"/>
      <c r="G46" s="6"/>
      <c r="H46" s="6"/>
      <c r="I46" s="6"/>
      <c r="J46" s="6"/>
      <c r="K46" s="6"/>
    </row>
    <row r="47" ht="15.75" customHeight="1">
      <c r="A47" s="3" t="s">
        <v>88</v>
      </c>
      <c r="B47" s="8" t="s">
        <v>89</v>
      </c>
      <c r="C47" s="5">
        <v>88.66666666666666</v>
      </c>
      <c r="D47" s="6"/>
      <c r="E47" s="6"/>
      <c r="F47" s="6"/>
      <c r="G47" s="6"/>
      <c r="H47" s="6"/>
      <c r="I47" s="6"/>
      <c r="J47" s="6"/>
      <c r="K47" s="6"/>
    </row>
    <row r="48" ht="15.0" customHeight="1">
      <c r="A48" s="3" t="s">
        <v>90</v>
      </c>
      <c r="B48" s="4" t="s">
        <v>91</v>
      </c>
      <c r="C48" s="5">
        <v>92.66666666666666</v>
      </c>
      <c r="D48" s="6"/>
      <c r="E48" s="6"/>
      <c r="F48" s="6"/>
      <c r="G48" s="6"/>
      <c r="H48" s="6"/>
      <c r="I48" s="6"/>
      <c r="J48" s="6"/>
      <c r="K48" s="6"/>
    </row>
    <row r="49" ht="15.0" customHeight="1">
      <c r="A49" s="3" t="s">
        <v>92</v>
      </c>
      <c r="B49" s="4" t="s">
        <v>93</v>
      </c>
      <c r="C49" s="5">
        <v>93.0</v>
      </c>
      <c r="D49" s="6"/>
      <c r="E49" s="6"/>
      <c r="F49" s="6"/>
      <c r="G49" s="6"/>
      <c r="H49" s="6"/>
      <c r="I49" s="6"/>
      <c r="J49" s="6"/>
      <c r="K49" s="6"/>
    </row>
    <row r="50" ht="15.0" customHeight="1">
      <c r="A50" s="3" t="s">
        <v>94</v>
      </c>
      <c r="B50" s="4" t="s">
        <v>95</v>
      </c>
      <c r="C50" s="5">
        <v>89.66666666666666</v>
      </c>
      <c r="D50" s="6"/>
      <c r="E50" s="6"/>
      <c r="F50" s="6"/>
      <c r="G50" s="6"/>
      <c r="H50" s="6"/>
      <c r="I50" s="6"/>
      <c r="J50" s="6"/>
      <c r="K50" s="6"/>
    </row>
    <row r="51" ht="15.0" customHeight="1">
      <c r="A51" s="3" t="s">
        <v>96</v>
      </c>
      <c r="B51" s="9" t="s">
        <v>97</v>
      </c>
      <c r="C51" s="5">
        <v>90.0</v>
      </c>
      <c r="D51" s="6"/>
      <c r="E51" s="6"/>
      <c r="F51" s="6"/>
      <c r="G51" s="6"/>
      <c r="H51" s="6"/>
      <c r="I51" s="6"/>
      <c r="J51" s="6"/>
      <c r="K51" s="6"/>
    </row>
    <row r="52" ht="16.5" customHeight="1">
      <c r="A52" s="3" t="s">
        <v>98</v>
      </c>
      <c r="B52" s="4" t="s">
        <v>99</v>
      </c>
      <c r="C52" s="5">
        <v>90.0</v>
      </c>
      <c r="D52" s="6"/>
      <c r="E52" s="6"/>
      <c r="F52" s="6"/>
      <c r="G52" s="6"/>
      <c r="H52" s="6"/>
      <c r="I52" s="6"/>
      <c r="J52" s="6"/>
      <c r="K52" s="6"/>
    </row>
    <row r="53" ht="15.0" customHeight="1">
      <c r="A53" s="3" t="s">
        <v>100</v>
      </c>
      <c r="B53" s="4" t="s">
        <v>101</v>
      </c>
      <c r="C53" s="5">
        <v>100.0</v>
      </c>
      <c r="D53" s="6"/>
      <c r="E53" s="6"/>
      <c r="F53" s="6"/>
      <c r="G53" s="6"/>
      <c r="H53" s="6"/>
      <c r="I53" s="6"/>
      <c r="J53" s="6"/>
      <c r="K53" s="6"/>
    </row>
    <row r="54" ht="15.0" customHeight="1">
      <c r="A54" s="3" t="s">
        <v>102</v>
      </c>
      <c r="B54" s="4" t="s">
        <v>103</v>
      </c>
      <c r="C54" s="5">
        <v>100.0</v>
      </c>
      <c r="D54" s="6"/>
      <c r="E54" s="6"/>
      <c r="F54" s="6"/>
      <c r="G54" s="6"/>
      <c r="H54" s="6"/>
      <c r="I54" s="6"/>
      <c r="J54" s="6"/>
      <c r="K54" s="6"/>
    </row>
    <row r="55" ht="15.0" customHeight="1">
      <c r="A55" s="3" t="s">
        <v>104</v>
      </c>
      <c r="B55" s="4" t="s">
        <v>105</v>
      </c>
      <c r="C55" s="5">
        <v>96.0</v>
      </c>
      <c r="D55" s="6"/>
      <c r="E55" s="6"/>
      <c r="F55" s="6"/>
      <c r="G55" s="6"/>
      <c r="H55" s="6"/>
      <c r="I55" s="6"/>
      <c r="J55" s="6"/>
      <c r="K55" s="6"/>
    </row>
    <row r="56" ht="15.0" customHeight="1">
      <c r="A56" s="3" t="s">
        <v>106</v>
      </c>
      <c r="B56" s="4" t="s">
        <v>107</v>
      </c>
      <c r="C56" s="5">
        <v>100.0</v>
      </c>
      <c r="D56" s="6"/>
      <c r="E56" s="6"/>
      <c r="F56" s="6"/>
      <c r="G56" s="6"/>
      <c r="H56" s="6"/>
      <c r="I56" s="6"/>
      <c r="J56" s="6"/>
      <c r="K56" s="6"/>
    </row>
    <row r="57" ht="15.0" customHeight="1">
      <c r="A57" s="3" t="s">
        <v>108</v>
      </c>
      <c r="B57" s="4" t="s">
        <v>109</v>
      </c>
      <c r="C57" s="5">
        <v>92.0</v>
      </c>
      <c r="D57" s="6"/>
      <c r="E57" s="6"/>
      <c r="F57" s="6"/>
      <c r="G57" s="6"/>
      <c r="H57" s="6"/>
      <c r="I57" s="6"/>
      <c r="J57" s="6"/>
      <c r="K57" s="6"/>
    </row>
    <row r="58" ht="16.5" customHeight="1">
      <c r="A58" s="3" t="s">
        <v>110</v>
      </c>
      <c r="B58" s="4" t="s">
        <v>111</v>
      </c>
      <c r="C58" s="5">
        <v>100.0</v>
      </c>
      <c r="D58" s="6"/>
      <c r="E58" s="6"/>
      <c r="F58" s="6"/>
      <c r="G58" s="6"/>
      <c r="H58" s="6"/>
      <c r="I58" s="6"/>
      <c r="J58" s="6"/>
      <c r="K58" s="6"/>
    </row>
    <row r="59" ht="15.0" customHeight="1">
      <c r="A59" s="3" t="s">
        <v>112</v>
      </c>
      <c r="B59" s="4" t="s">
        <v>113</v>
      </c>
      <c r="C59" s="5">
        <v>95.0</v>
      </c>
      <c r="D59" s="6"/>
      <c r="E59" s="6"/>
      <c r="F59" s="6"/>
      <c r="G59" s="6"/>
      <c r="H59" s="6"/>
      <c r="I59" s="6"/>
      <c r="J59" s="6"/>
      <c r="K59" s="6"/>
    </row>
    <row r="60" ht="15.0" customHeight="1">
      <c r="A60" s="3" t="s">
        <v>114</v>
      </c>
      <c r="B60" s="4" t="s">
        <v>115</v>
      </c>
      <c r="C60" s="5">
        <v>87.0</v>
      </c>
      <c r="D60" s="6"/>
      <c r="E60" s="6"/>
      <c r="F60" s="6"/>
      <c r="G60" s="6"/>
      <c r="H60" s="6"/>
      <c r="I60" s="6"/>
      <c r="J60" s="6"/>
      <c r="K60" s="6"/>
    </row>
    <row r="61" ht="15.0" customHeight="1">
      <c r="A61" s="3" t="s">
        <v>116</v>
      </c>
      <c r="B61" s="4" t="s">
        <v>117</v>
      </c>
      <c r="C61" s="5">
        <v>92.33333333333333</v>
      </c>
      <c r="D61" s="6"/>
      <c r="E61" s="6"/>
      <c r="F61" s="6"/>
      <c r="G61" s="6"/>
      <c r="H61" s="6"/>
      <c r="I61" s="6"/>
      <c r="J61" s="6"/>
      <c r="K61" s="6"/>
    </row>
    <row r="62" ht="15.0" customHeight="1">
      <c r="A62" s="3" t="s">
        <v>118</v>
      </c>
      <c r="B62" s="4" t="s">
        <v>119</v>
      </c>
      <c r="C62" s="5">
        <v>90.0</v>
      </c>
      <c r="D62" s="6"/>
      <c r="E62" s="6"/>
      <c r="F62" s="6"/>
      <c r="G62" s="6"/>
      <c r="H62" s="6"/>
      <c r="I62" s="6"/>
      <c r="J62" s="6"/>
      <c r="K62" s="6"/>
    </row>
    <row r="63" ht="21.0" customHeight="1">
      <c r="A63" s="3" t="s">
        <v>120</v>
      </c>
      <c r="B63" s="4" t="s">
        <v>121</v>
      </c>
      <c r="C63" s="5">
        <v>100.0</v>
      </c>
      <c r="D63" s="6"/>
      <c r="E63" s="6"/>
      <c r="F63" s="6"/>
      <c r="G63" s="6"/>
      <c r="H63" s="6"/>
      <c r="I63" s="6"/>
      <c r="J63" s="6"/>
      <c r="K63" s="6"/>
    </row>
    <row r="64" ht="15.75" customHeight="1">
      <c r="A64" s="6"/>
      <c r="B64" s="10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A65" s="6"/>
      <c r="B65" s="10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A66" s="11"/>
      <c r="B66" s="1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6"/>
      <c r="B67" s="10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A68" s="6"/>
      <c r="B68" s="10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A69" s="6"/>
      <c r="B69" s="10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A70" s="6"/>
      <c r="B70" s="10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A71" s="6"/>
      <c r="B71" s="10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A72" s="6"/>
      <c r="B72" s="10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A73" s="6"/>
      <c r="B73" s="10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A74" s="6"/>
      <c r="B74" s="10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A75" s="6"/>
      <c r="B75" s="10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A76" s="6"/>
      <c r="B76" s="10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A77" s="6"/>
      <c r="B77" s="10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A78" s="6"/>
      <c r="B78" s="10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A79" s="6"/>
      <c r="B79" s="10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A80" s="6"/>
      <c r="B80" s="10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A81" s="6"/>
      <c r="B81" s="10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A82" s="6"/>
      <c r="B82" s="10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A83" s="6"/>
      <c r="B83" s="10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A84" s="6"/>
      <c r="B84" s="10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A85" s="6"/>
      <c r="B85" s="10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A86" s="6"/>
      <c r="B86" s="10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A87" s="6"/>
      <c r="B87" s="10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A88" s="6"/>
      <c r="B88" s="10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A89" s="6"/>
      <c r="B89" s="10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A90" s="6"/>
      <c r="B90" s="10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A91" s="6"/>
      <c r="B91" s="10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A92" s="6"/>
      <c r="B92" s="10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A93" s="6"/>
      <c r="B93" s="10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A94" s="6"/>
      <c r="B94" s="10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A95" s="6"/>
      <c r="B95" s="10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A96" s="6"/>
      <c r="B96" s="10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A97" s="6"/>
      <c r="B97" s="10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A98" s="6"/>
      <c r="B98" s="10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A99" s="6"/>
      <c r="B99" s="10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A100" s="6"/>
      <c r="B100" s="10"/>
      <c r="C100" s="6"/>
      <c r="D100" s="6"/>
      <c r="E100" s="6"/>
      <c r="F100" s="6"/>
      <c r="G100" s="6"/>
      <c r="H100" s="6"/>
      <c r="I100" s="6"/>
      <c r="J100" s="6"/>
      <c r="K100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43"/>
    <col customWidth="1" min="3" max="3" width="22.57"/>
    <col customWidth="1" min="4" max="4" width="11.14"/>
    <col customWidth="1" min="5" max="5" width="11.43"/>
    <col customWidth="1" min="6" max="6" width="11.14"/>
    <col customWidth="1" min="7" max="7" width="13.0"/>
    <col customWidth="1" min="8" max="8" width="12.0"/>
    <col customWidth="1" min="9" max="9" width="11.29"/>
    <col customWidth="1" min="10" max="10" width="14.43"/>
    <col customWidth="1" min="11" max="11" width="9.14"/>
    <col customWidth="1" min="12" max="12" width="11.57"/>
    <col customWidth="1" min="13" max="13" width="12.29"/>
    <col customWidth="1" min="14" max="14" width="9.29"/>
    <col customWidth="1" min="15" max="15" width="10.71"/>
    <col customWidth="1" min="16" max="16" width="9.14"/>
    <col customWidth="1" min="17" max="17" width="9.43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>
      <c r="A5" s="13"/>
      <c r="B5" s="13"/>
      <c r="C5" s="13"/>
      <c r="D5" s="14" t="s">
        <v>122</v>
      </c>
      <c r="E5" s="15"/>
      <c r="F5" s="14" t="s">
        <v>123</v>
      </c>
      <c r="G5" s="15"/>
      <c r="H5" s="14" t="s">
        <v>124</v>
      </c>
      <c r="I5" s="15"/>
      <c r="J5" s="14" t="s">
        <v>125</v>
      </c>
      <c r="K5" s="15"/>
      <c r="L5" s="14" t="s">
        <v>126</v>
      </c>
      <c r="M5" s="15"/>
      <c r="N5" s="14" t="s">
        <v>127</v>
      </c>
      <c r="O5" s="15"/>
      <c r="P5" s="16" t="s">
        <v>128</v>
      </c>
      <c r="Q5" s="17" t="s">
        <v>129</v>
      </c>
    </row>
    <row r="6">
      <c r="A6" s="18" t="s">
        <v>130</v>
      </c>
      <c r="B6" s="18" t="s">
        <v>131</v>
      </c>
      <c r="C6" s="18" t="s">
        <v>132</v>
      </c>
      <c r="D6" s="19" t="s">
        <v>133</v>
      </c>
      <c r="E6" s="19" t="s">
        <v>134</v>
      </c>
      <c r="F6" s="19" t="s">
        <v>133</v>
      </c>
      <c r="G6" s="19" t="s">
        <v>134</v>
      </c>
      <c r="H6" s="19" t="s">
        <v>133</v>
      </c>
      <c r="I6" s="19" t="s">
        <v>134</v>
      </c>
      <c r="J6" s="19" t="s">
        <v>133</v>
      </c>
      <c r="K6" s="19" t="s">
        <v>134</v>
      </c>
      <c r="L6" s="19" t="s">
        <v>133</v>
      </c>
      <c r="M6" s="19" t="s">
        <v>134</v>
      </c>
      <c r="N6" s="19" t="s">
        <v>133</v>
      </c>
      <c r="O6" s="19" t="s">
        <v>134</v>
      </c>
      <c r="P6" s="20"/>
      <c r="Q6" s="20"/>
    </row>
    <row r="7">
      <c r="A7" s="21">
        <v>1.0</v>
      </c>
      <c r="B7" s="21" t="s">
        <v>1</v>
      </c>
      <c r="C7" s="21" t="s">
        <v>2</v>
      </c>
      <c r="D7" s="22">
        <v>23.0</v>
      </c>
      <c r="E7" s="22" t="str">
        <f t="shared" ref="E7:E68" si="1">(D7*10)/100</f>
        <v>2.3</v>
      </c>
      <c r="F7" s="21">
        <v>68.0</v>
      </c>
      <c r="G7" s="22" t="str">
        <f t="shared" ref="G7:G68" si="2">(F7*10)/100</f>
        <v>6.8</v>
      </c>
      <c r="H7" s="22"/>
      <c r="I7" s="22" t="str">
        <f t="shared" ref="I7:I68" si="3">(H7*10)/100</f>
        <v>0</v>
      </c>
      <c r="J7" s="22"/>
      <c r="K7" s="23" t="str">
        <f t="shared" ref="K7:K68" si="4">(J7*10)/100</f>
        <v>0.00</v>
      </c>
      <c r="L7" s="24">
        <v>87.0</v>
      </c>
      <c r="M7" s="23" t="str">
        <f t="shared" ref="M7:M68" si="5">(L7*5)/100</f>
        <v>4.35</v>
      </c>
      <c r="N7" s="22">
        <v>60.0</v>
      </c>
      <c r="O7" s="23" t="str">
        <f t="shared" ref="O7:O68" si="6">(N7*5)/100</f>
        <v>3.00</v>
      </c>
      <c r="P7" s="23" t="str">
        <f t="shared" ref="P7:P68" si="7">O7+M7+K7+I7+G7+E7</f>
        <v>16.45</v>
      </c>
      <c r="Q7" s="25" t="str">
        <f t="shared" ref="Q7:Q68" si="8">ROUND(P7,0)</f>
        <v>16</v>
      </c>
    </row>
    <row r="8">
      <c r="A8" s="21">
        <v>2.0</v>
      </c>
      <c r="B8" s="21" t="s">
        <v>3</v>
      </c>
      <c r="C8" s="21" t="s">
        <v>4</v>
      </c>
      <c r="D8" s="22">
        <v>8.0</v>
      </c>
      <c r="E8" s="22" t="str">
        <f t="shared" si="1"/>
        <v>0.8</v>
      </c>
      <c r="F8" s="21">
        <v>54.0</v>
      </c>
      <c r="G8" s="22" t="str">
        <f t="shared" si="2"/>
        <v>5.4</v>
      </c>
      <c r="H8" s="22"/>
      <c r="I8" s="22" t="str">
        <f t="shared" si="3"/>
        <v>0</v>
      </c>
      <c r="J8" s="22"/>
      <c r="K8" s="23" t="str">
        <f t="shared" si="4"/>
        <v>0.00</v>
      </c>
      <c r="L8" s="24">
        <v>90.0</v>
      </c>
      <c r="M8" s="23" t="str">
        <f t="shared" si="5"/>
        <v>4.50</v>
      </c>
      <c r="N8" s="22">
        <v>25.0</v>
      </c>
      <c r="O8" s="23" t="str">
        <f t="shared" si="6"/>
        <v>1.25</v>
      </c>
      <c r="P8" s="23" t="str">
        <f t="shared" si="7"/>
        <v>11.95</v>
      </c>
      <c r="Q8" s="25" t="str">
        <f t="shared" si="8"/>
        <v>12</v>
      </c>
    </row>
    <row r="9">
      <c r="A9" s="21">
        <v>3.0</v>
      </c>
      <c r="B9" s="21" t="s">
        <v>5</v>
      </c>
      <c r="C9" s="21" t="s">
        <v>6</v>
      </c>
      <c r="D9" s="22">
        <v>56.0</v>
      </c>
      <c r="E9" s="22" t="str">
        <f t="shared" si="1"/>
        <v>5.6</v>
      </c>
      <c r="F9" s="21">
        <v>70.0</v>
      </c>
      <c r="G9" s="22" t="str">
        <f t="shared" si="2"/>
        <v>7</v>
      </c>
      <c r="H9" s="22"/>
      <c r="I9" s="22" t="str">
        <f t="shared" si="3"/>
        <v>0</v>
      </c>
      <c r="J9" s="22"/>
      <c r="K9" s="23" t="str">
        <f t="shared" si="4"/>
        <v>0.00</v>
      </c>
      <c r="L9" s="24">
        <v>98.0</v>
      </c>
      <c r="M9" s="23" t="str">
        <f t="shared" si="5"/>
        <v>4.90</v>
      </c>
      <c r="N9" s="22">
        <v>100.0</v>
      </c>
      <c r="O9" s="23" t="str">
        <f t="shared" si="6"/>
        <v>5.00</v>
      </c>
      <c r="P9" s="23" t="str">
        <f t="shared" si="7"/>
        <v>22.50</v>
      </c>
      <c r="Q9" s="25" t="str">
        <f t="shared" si="8"/>
        <v>23</v>
      </c>
    </row>
    <row r="10">
      <c r="A10" s="21">
        <v>4.0</v>
      </c>
      <c r="B10" s="21" t="s">
        <v>7</v>
      </c>
      <c r="C10" s="21" t="s">
        <v>135</v>
      </c>
      <c r="D10" s="22">
        <v>0.0</v>
      </c>
      <c r="E10" s="22" t="str">
        <f t="shared" si="1"/>
        <v>0</v>
      </c>
      <c r="F10" s="21">
        <v>50.0</v>
      </c>
      <c r="G10" s="22" t="str">
        <f t="shared" si="2"/>
        <v>5</v>
      </c>
      <c r="H10" s="22"/>
      <c r="I10" s="22" t="str">
        <f t="shared" si="3"/>
        <v>0</v>
      </c>
      <c r="J10" s="22"/>
      <c r="K10" s="23" t="str">
        <f t="shared" si="4"/>
        <v>0.00</v>
      </c>
      <c r="L10" s="24">
        <v>85.66666666666667</v>
      </c>
      <c r="M10" s="23" t="str">
        <f t="shared" si="5"/>
        <v>4.28</v>
      </c>
      <c r="N10" s="22">
        <v>10.0</v>
      </c>
      <c r="O10" s="23" t="str">
        <f t="shared" si="6"/>
        <v>0.50</v>
      </c>
      <c r="P10" s="23" t="str">
        <f t="shared" si="7"/>
        <v>9.78</v>
      </c>
      <c r="Q10" s="25" t="str">
        <f t="shared" si="8"/>
        <v>10</v>
      </c>
    </row>
    <row r="11">
      <c r="A11" s="21">
        <v>5.0</v>
      </c>
      <c r="B11" s="21" t="s">
        <v>9</v>
      </c>
      <c r="C11" s="21" t="s">
        <v>10</v>
      </c>
      <c r="D11" s="22">
        <v>62.0</v>
      </c>
      <c r="E11" s="22" t="str">
        <f t="shared" si="1"/>
        <v>6.2</v>
      </c>
      <c r="F11" s="21">
        <v>94.0</v>
      </c>
      <c r="G11" s="22" t="str">
        <f t="shared" si="2"/>
        <v>9.4</v>
      </c>
      <c r="H11" s="22"/>
      <c r="I11" s="22" t="str">
        <f t="shared" si="3"/>
        <v>0</v>
      </c>
      <c r="J11" s="22"/>
      <c r="K11" s="23" t="str">
        <f t="shared" si="4"/>
        <v>0.00</v>
      </c>
      <c r="L11" s="24">
        <v>92.33333333333334</v>
      </c>
      <c r="M11" s="23" t="str">
        <f t="shared" si="5"/>
        <v>4.62</v>
      </c>
      <c r="N11" s="22">
        <v>33.33</v>
      </c>
      <c r="O11" s="23" t="str">
        <f t="shared" si="6"/>
        <v>1.67</v>
      </c>
      <c r="P11" s="23" t="str">
        <f t="shared" si="7"/>
        <v>21.88</v>
      </c>
      <c r="Q11" s="25" t="str">
        <f t="shared" si="8"/>
        <v>22</v>
      </c>
    </row>
    <row r="12">
      <c r="A12" s="21">
        <v>6.0</v>
      </c>
      <c r="B12" s="21" t="s">
        <v>11</v>
      </c>
      <c r="C12" s="21" t="s">
        <v>136</v>
      </c>
      <c r="D12" s="22">
        <v>19.0</v>
      </c>
      <c r="E12" s="22" t="str">
        <f t="shared" si="1"/>
        <v>1.9</v>
      </c>
      <c r="F12" s="21">
        <v>52.0</v>
      </c>
      <c r="G12" s="22" t="str">
        <f t="shared" si="2"/>
        <v>5.2</v>
      </c>
      <c r="H12" s="22"/>
      <c r="I12" s="22" t="str">
        <f t="shared" si="3"/>
        <v>0</v>
      </c>
      <c r="J12" s="22"/>
      <c r="K12" s="23" t="str">
        <f t="shared" si="4"/>
        <v>0.00</v>
      </c>
      <c r="L12" s="26">
        <v>85.0</v>
      </c>
      <c r="M12" s="23" t="str">
        <f t="shared" si="5"/>
        <v>4.25</v>
      </c>
      <c r="N12" s="22">
        <v>36.67</v>
      </c>
      <c r="O12" s="23" t="str">
        <f t="shared" si="6"/>
        <v>1.83</v>
      </c>
      <c r="P12" s="23" t="str">
        <f t="shared" si="7"/>
        <v>13.18</v>
      </c>
      <c r="Q12" s="25" t="str">
        <f t="shared" si="8"/>
        <v>13</v>
      </c>
    </row>
    <row r="13">
      <c r="A13" s="21">
        <v>7.0</v>
      </c>
      <c r="B13" s="21" t="s">
        <v>13</v>
      </c>
      <c r="C13" s="21" t="s">
        <v>14</v>
      </c>
      <c r="D13" s="22">
        <v>55.0</v>
      </c>
      <c r="E13" s="22" t="str">
        <f t="shared" si="1"/>
        <v>5.5</v>
      </c>
      <c r="F13" s="21">
        <v>44.0</v>
      </c>
      <c r="G13" s="22" t="str">
        <f t="shared" si="2"/>
        <v>4.4</v>
      </c>
      <c r="H13" s="22"/>
      <c r="I13" s="22" t="str">
        <f t="shared" si="3"/>
        <v>0</v>
      </c>
      <c r="J13" s="22"/>
      <c r="K13" s="23" t="str">
        <f t="shared" si="4"/>
        <v>0.00</v>
      </c>
      <c r="L13" s="24">
        <v>88.0</v>
      </c>
      <c r="M13" s="23" t="str">
        <f t="shared" si="5"/>
        <v>4.40</v>
      </c>
      <c r="N13" s="22">
        <v>61.67</v>
      </c>
      <c r="O13" s="23" t="str">
        <f t="shared" si="6"/>
        <v>3.08</v>
      </c>
      <c r="P13" s="23" t="str">
        <f t="shared" si="7"/>
        <v>17.38</v>
      </c>
      <c r="Q13" s="25" t="str">
        <f t="shared" si="8"/>
        <v>17</v>
      </c>
    </row>
    <row r="14">
      <c r="A14" s="21">
        <v>8.0</v>
      </c>
      <c r="B14" s="21" t="s">
        <v>15</v>
      </c>
      <c r="C14" s="21" t="s">
        <v>16</v>
      </c>
      <c r="D14" s="22">
        <v>50.0</v>
      </c>
      <c r="E14" s="22" t="str">
        <f t="shared" si="1"/>
        <v>5</v>
      </c>
      <c r="F14" s="21">
        <v>77.0</v>
      </c>
      <c r="G14" s="22" t="str">
        <f t="shared" si="2"/>
        <v>7.7</v>
      </c>
      <c r="H14" s="22"/>
      <c r="I14" s="22" t="str">
        <f t="shared" si="3"/>
        <v>0</v>
      </c>
      <c r="J14" s="22"/>
      <c r="K14" s="23" t="str">
        <f t="shared" si="4"/>
        <v>0.00</v>
      </c>
      <c r="L14" s="24">
        <v>87.66666666666666</v>
      </c>
      <c r="M14" s="23" t="str">
        <f t="shared" si="5"/>
        <v>4.38</v>
      </c>
      <c r="N14" s="22">
        <v>90.67</v>
      </c>
      <c r="O14" s="23" t="str">
        <f t="shared" si="6"/>
        <v>4.53</v>
      </c>
      <c r="P14" s="23" t="str">
        <f t="shared" si="7"/>
        <v>21.62</v>
      </c>
      <c r="Q14" s="25" t="str">
        <f t="shared" si="8"/>
        <v>22</v>
      </c>
    </row>
    <row r="15">
      <c r="A15" s="21">
        <v>9.0</v>
      </c>
      <c r="B15" s="21" t="s">
        <v>17</v>
      </c>
      <c r="C15" s="21" t="s">
        <v>18</v>
      </c>
      <c r="D15" s="22">
        <v>37.0</v>
      </c>
      <c r="E15" s="22" t="str">
        <f t="shared" si="1"/>
        <v>3.7</v>
      </c>
      <c r="F15" s="21">
        <v>84.0</v>
      </c>
      <c r="G15" s="22" t="str">
        <f t="shared" si="2"/>
        <v>8.4</v>
      </c>
      <c r="H15" s="22"/>
      <c r="I15" s="22" t="str">
        <f t="shared" si="3"/>
        <v>0</v>
      </c>
      <c r="J15" s="22"/>
      <c r="K15" s="23" t="str">
        <f t="shared" si="4"/>
        <v>0.00</v>
      </c>
      <c r="L15" s="24">
        <v>87.66666666666667</v>
      </c>
      <c r="M15" s="23" t="str">
        <f t="shared" si="5"/>
        <v>4.38</v>
      </c>
      <c r="N15" s="22">
        <v>80.0</v>
      </c>
      <c r="O15" s="23" t="str">
        <f t="shared" si="6"/>
        <v>4.00</v>
      </c>
      <c r="P15" s="23" t="str">
        <f t="shared" si="7"/>
        <v>20.48</v>
      </c>
      <c r="Q15" s="25" t="str">
        <f t="shared" si="8"/>
        <v>20</v>
      </c>
    </row>
    <row r="16">
      <c r="A16" s="21">
        <v>10.0</v>
      </c>
      <c r="B16" s="21" t="s">
        <v>19</v>
      </c>
      <c r="C16" s="21" t="s">
        <v>137</v>
      </c>
      <c r="D16" s="22">
        <v>21.0</v>
      </c>
      <c r="E16" s="22" t="str">
        <f t="shared" si="1"/>
        <v>2.1</v>
      </c>
      <c r="F16" s="21">
        <v>57.0</v>
      </c>
      <c r="G16" s="22" t="str">
        <f t="shared" si="2"/>
        <v>5.7</v>
      </c>
      <c r="H16" s="22"/>
      <c r="I16" s="22" t="str">
        <f t="shared" si="3"/>
        <v>0</v>
      </c>
      <c r="J16" s="22"/>
      <c r="K16" s="23" t="str">
        <f t="shared" si="4"/>
        <v>0.00</v>
      </c>
      <c r="L16" s="24">
        <v>90.0</v>
      </c>
      <c r="M16" s="23" t="str">
        <f t="shared" si="5"/>
        <v>4.50</v>
      </c>
      <c r="N16" s="22">
        <v>55.0</v>
      </c>
      <c r="O16" s="23" t="str">
        <f t="shared" si="6"/>
        <v>2.75</v>
      </c>
      <c r="P16" s="23" t="str">
        <f t="shared" si="7"/>
        <v>15.05</v>
      </c>
      <c r="Q16" s="25" t="str">
        <f t="shared" si="8"/>
        <v>15</v>
      </c>
    </row>
    <row r="17">
      <c r="A17" s="21">
        <v>11.0</v>
      </c>
      <c r="B17" s="21" t="s">
        <v>21</v>
      </c>
      <c r="C17" s="21" t="s">
        <v>138</v>
      </c>
      <c r="D17" s="22">
        <v>59.0</v>
      </c>
      <c r="E17" s="22" t="str">
        <f t="shared" si="1"/>
        <v>5.9</v>
      </c>
      <c r="F17" s="21">
        <v>83.0</v>
      </c>
      <c r="G17" s="22" t="str">
        <f t="shared" si="2"/>
        <v>8.3</v>
      </c>
      <c r="H17" s="22"/>
      <c r="I17" s="22" t="str">
        <f t="shared" si="3"/>
        <v>0</v>
      </c>
      <c r="J17" s="22"/>
      <c r="K17" s="23" t="str">
        <f t="shared" si="4"/>
        <v>0.00</v>
      </c>
      <c r="L17" s="24">
        <v>100.0</v>
      </c>
      <c r="M17" s="23" t="str">
        <f t="shared" si="5"/>
        <v>5.00</v>
      </c>
      <c r="N17" s="22">
        <v>100.0</v>
      </c>
      <c r="O17" s="23" t="str">
        <f t="shared" si="6"/>
        <v>5.00</v>
      </c>
      <c r="P17" s="23" t="str">
        <f t="shared" si="7"/>
        <v>24.20</v>
      </c>
      <c r="Q17" s="25" t="str">
        <f t="shared" si="8"/>
        <v>24</v>
      </c>
    </row>
    <row r="18">
      <c r="A18" s="21">
        <v>12.0</v>
      </c>
      <c r="B18" s="21" t="s">
        <v>23</v>
      </c>
      <c r="C18" s="21" t="s">
        <v>139</v>
      </c>
      <c r="D18" s="22">
        <v>62.0</v>
      </c>
      <c r="E18" s="22" t="str">
        <f t="shared" si="1"/>
        <v>6.2</v>
      </c>
      <c r="F18" s="21">
        <v>74.0</v>
      </c>
      <c r="G18" s="22" t="str">
        <f t="shared" si="2"/>
        <v>7.4</v>
      </c>
      <c r="H18" s="22"/>
      <c r="I18" s="22" t="str">
        <f t="shared" si="3"/>
        <v>0</v>
      </c>
      <c r="J18" s="22"/>
      <c r="K18" s="23" t="str">
        <f t="shared" si="4"/>
        <v>0.00</v>
      </c>
      <c r="L18" s="24">
        <v>100.0</v>
      </c>
      <c r="M18" s="23" t="str">
        <f t="shared" si="5"/>
        <v>5.00</v>
      </c>
      <c r="N18" s="22">
        <v>21.67</v>
      </c>
      <c r="O18" s="23" t="str">
        <f t="shared" si="6"/>
        <v>1.08</v>
      </c>
      <c r="P18" s="23" t="str">
        <f t="shared" si="7"/>
        <v>19.68</v>
      </c>
      <c r="Q18" s="25" t="str">
        <f t="shared" si="8"/>
        <v>20</v>
      </c>
    </row>
    <row r="19">
      <c r="A19" s="21">
        <v>13.0</v>
      </c>
      <c r="B19" s="21" t="s">
        <v>25</v>
      </c>
      <c r="C19" s="21" t="s">
        <v>26</v>
      </c>
      <c r="D19" s="22">
        <v>47.0</v>
      </c>
      <c r="E19" s="22" t="str">
        <f t="shared" si="1"/>
        <v>4.7</v>
      </c>
      <c r="F19" s="21">
        <v>59.0</v>
      </c>
      <c r="G19" s="22" t="str">
        <f t="shared" si="2"/>
        <v>5.9</v>
      </c>
      <c r="H19" s="22"/>
      <c r="I19" s="22" t="str">
        <f t="shared" si="3"/>
        <v>0</v>
      </c>
      <c r="J19" s="22"/>
      <c r="K19" s="23" t="str">
        <f t="shared" si="4"/>
        <v>0.00</v>
      </c>
      <c r="L19" s="24">
        <v>88.33333333333334</v>
      </c>
      <c r="M19" s="23" t="str">
        <f t="shared" si="5"/>
        <v>4.42</v>
      </c>
      <c r="N19" s="22">
        <v>81.67</v>
      </c>
      <c r="O19" s="23" t="str">
        <f t="shared" si="6"/>
        <v>4.08</v>
      </c>
      <c r="P19" s="23" t="str">
        <f t="shared" si="7"/>
        <v>19.10</v>
      </c>
      <c r="Q19" s="25" t="str">
        <f t="shared" si="8"/>
        <v>19</v>
      </c>
    </row>
    <row r="20">
      <c r="A20" s="21">
        <v>14.0</v>
      </c>
      <c r="B20" s="21" t="s">
        <v>27</v>
      </c>
      <c r="C20" s="21" t="s">
        <v>26</v>
      </c>
      <c r="D20" s="22">
        <v>60.0</v>
      </c>
      <c r="E20" s="22" t="str">
        <f t="shared" si="1"/>
        <v>6</v>
      </c>
      <c r="F20" s="21">
        <v>91.0</v>
      </c>
      <c r="G20" s="22" t="str">
        <f t="shared" si="2"/>
        <v>9.1</v>
      </c>
      <c r="H20" s="22"/>
      <c r="I20" s="22" t="str">
        <f t="shared" si="3"/>
        <v>0</v>
      </c>
      <c r="J20" s="22"/>
      <c r="K20" s="23" t="str">
        <f t="shared" si="4"/>
        <v>0.00</v>
      </c>
      <c r="L20" s="24">
        <v>89.0</v>
      </c>
      <c r="M20" s="23" t="str">
        <f t="shared" si="5"/>
        <v>4.45</v>
      </c>
      <c r="N20" s="22">
        <v>100.0</v>
      </c>
      <c r="O20" s="23" t="str">
        <f t="shared" si="6"/>
        <v>5.00</v>
      </c>
      <c r="P20" s="23" t="str">
        <f t="shared" si="7"/>
        <v>24.55</v>
      </c>
      <c r="Q20" s="25" t="str">
        <f t="shared" si="8"/>
        <v>25</v>
      </c>
    </row>
    <row r="21" ht="15.75" customHeight="1">
      <c r="A21" s="21">
        <v>15.0</v>
      </c>
      <c r="B21" s="21" t="s">
        <v>28</v>
      </c>
      <c r="C21" s="21" t="s">
        <v>26</v>
      </c>
      <c r="D21" s="22">
        <v>4.0</v>
      </c>
      <c r="E21" s="22" t="str">
        <f t="shared" si="1"/>
        <v>0.4</v>
      </c>
      <c r="F21" s="21">
        <v>25.0</v>
      </c>
      <c r="G21" s="22" t="str">
        <f t="shared" si="2"/>
        <v>2.5</v>
      </c>
      <c r="H21" s="22"/>
      <c r="I21" s="22" t="str">
        <f t="shared" si="3"/>
        <v>0</v>
      </c>
      <c r="J21" s="22"/>
      <c r="K21" s="23" t="str">
        <f t="shared" si="4"/>
        <v>0.00</v>
      </c>
      <c r="L21" s="24">
        <v>85.66666666666666</v>
      </c>
      <c r="M21" s="23" t="str">
        <f t="shared" si="5"/>
        <v>4.28</v>
      </c>
      <c r="N21" s="22">
        <v>15.0</v>
      </c>
      <c r="O21" s="23" t="str">
        <f t="shared" si="6"/>
        <v>0.75</v>
      </c>
      <c r="P21" s="23" t="str">
        <f t="shared" si="7"/>
        <v>7.93</v>
      </c>
      <c r="Q21" s="25" t="str">
        <f t="shared" si="8"/>
        <v>8</v>
      </c>
    </row>
    <row r="22" ht="15.75" customHeight="1">
      <c r="A22" s="21">
        <v>16.0</v>
      </c>
      <c r="B22" s="21" t="s">
        <v>29</v>
      </c>
      <c r="C22" s="21" t="s">
        <v>30</v>
      </c>
      <c r="D22" s="22">
        <v>60.0</v>
      </c>
      <c r="E22" s="22" t="str">
        <f t="shared" si="1"/>
        <v>6</v>
      </c>
      <c r="F22" s="21">
        <v>73.0</v>
      </c>
      <c r="G22" s="22" t="str">
        <f t="shared" si="2"/>
        <v>7.3</v>
      </c>
      <c r="H22" s="22"/>
      <c r="I22" s="22" t="str">
        <f t="shared" si="3"/>
        <v>0</v>
      </c>
      <c r="J22" s="22"/>
      <c r="K22" s="23" t="str">
        <f t="shared" si="4"/>
        <v>0.00</v>
      </c>
      <c r="L22" s="24">
        <v>100.0</v>
      </c>
      <c r="M22" s="23" t="str">
        <f t="shared" si="5"/>
        <v>5.00</v>
      </c>
      <c r="N22" s="22">
        <v>35.0</v>
      </c>
      <c r="O22" s="23" t="str">
        <f t="shared" si="6"/>
        <v>1.75</v>
      </c>
      <c r="P22" s="23" t="str">
        <f t="shared" si="7"/>
        <v>20.05</v>
      </c>
      <c r="Q22" s="25" t="str">
        <f t="shared" si="8"/>
        <v>20</v>
      </c>
    </row>
    <row r="23" ht="15.75" customHeight="1">
      <c r="A23" s="21">
        <v>17.0</v>
      </c>
      <c r="B23" s="21" t="s">
        <v>31</v>
      </c>
      <c r="C23" s="21" t="s">
        <v>32</v>
      </c>
      <c r="D23" s="22">
        <v>25.0</v>
      </c>
      <c r="E23" s="22" t="str">
        <f t="shared" si="1"/>
        <v>2.5</v>
      </c>
      <c r="F23" s="21">
        <v>37.0</v>
      </c>
      <c r="G23" s="22" t="str">
        <f t="shared" si="2"/>
        <v>3.7</v>
      </c>
      <c r="H23" s="22"/>
      <c r="I23" s="22" t="str">
        <f t="shared" si="3"/>
        <v>0</v>
      </c>
      <c r="J23" s="22"/>
      <c r="K23" s="23" t="str">
        <f t="shared" si="4"/>
        <v>0.00</v>
      </c>
      <c r="L23" s="24">
        <v>86.33333333333334</v>
      </c>
      <c r="M23" s="23" t="str">
        <f t="shared" si="5"/>
        <v>4.32</v>
      </c>
      <c r="N23" s="22">
        <v>85.0</v>
      </c>
      <c r="O23" s="23" t="str">
        <f t="shared" si="6"/>
        <v>4.25</v>
      </c>
      <c r="P23" s="23" t="str">
        <f t="shared" si="7"/>
        <v>14.77</v>
      </c>
      <c r="Q23" s="25" t="str">
        <f t="shared" si="8"/>
        <v>15</v>
      </c>
    </row>
    <row r="24" ht="15.75" customHeight="1">
      <c r="A24" s="21">
        <v>18.0</v>
      </c>
      <c r="B24" s="21" t="s">
        <v>33</v>
      </c>
      <c r="C24" s="21" t="s">
        <v>34</v>
      </c>
      <c r="D24" s="22">
        <v>1.0</v>
      </c>
      <c r="E24" s="22" t="str">
        <f t="shared" si="1"/>
        <v>0.1</v>
      </c>
      <c r="F24" s="21">
        <v>60.0</v>
      </c>
      <c r="G24" s="22" t="str">
        <f t="shared" si="2"/>
        <v>6</v>
      </c>
      <c r="H24" s="22"/>
      <c r="I24" s="22" t="str">
        <f t="shared" si="3"/>
        <v>0</v>
      </c>
      <c r="J24" s="22"/>
      <c r="K24" s="23" t="str">
        <f t="shared" si="4"/>
        <v>0.00</v>
      </c>
      <c r="L24" s="24">
        <v>83.66666666666666</v>
      </c>
      <c r="M24" s="23" t="str">
        <f t="shared" si="5"/>
        <v>4.18</v>
      </c>
      <c r="N24" s="22">
        <v>100.0</v>
      </c>
      <c r="O24" s="23" t="str">
        <f t="shared" si="6"/>
        <v>5.00</v>
      </c>
      <c r="P24" s="23" t="str">
        <f t="shared" si="7"/>
        <v>15.28</v>
      </c>
      <c r="Q24" s="25" t="str">
        <f t="shared" si="8"/>
        <v>15</v>
      </c>
    </row>
    <row r="25" ht="15.75" customHeight="1">
      <c r="A25" s="21">
        <v>19.0</v>
      </c>
      <c r="B25" s="21" t="s">
        <v>35</v>
      </c>
      <c r="C25" s="21" t="s">
        <v>36</v>
      </c>
      <c r="D25" s="22">
        <v>2.0</v>
      </c>
      <c r="E25" s="22" t="str">
        <f t="shared" si="1"/>
        <v>0.2</v>
      </c>
      <c r="F25" s="21">
        <v>37.0</v>
      </c>
      <c r="G25" s="22" t="str">
        <f t="shared" si="2"/>
        <v>3.7</v>
      </c>
      <c r="H25" s="22"/>
      <c r="I25" s="22" t="str">
        <f t="shared" si="3"/>
        <v>0</v>
      </c>
      <c r="J25" s="22"/>
      <c r="K25" s="23" t="str">
        <f t="shared" si="4"/>
        <v>0.00</v>
      </c>
      <c r="L25" s="24">
        <v>90.0</v>
      </c>
      <c r="M25" s="23" t="str">
        <f t="shared" si="5"/>
        <v>4.50</v>
      </c>
      <c r="N25" s="22">
        <v>70.0</v>
      </c>
      <c r="O25" s="23" t="str">
        <f t="shared" si="6"/>
        <v>3.50</v>
      </c>
      <c r="P25" s="23" t="str">
        <f t="shared" si="7"/>
        <v>11.90</v>
      </c>
      <c r="Q25" s="25" t="str">
        <f t="shared" si="8"/>
        <v>12</v>
      </c>
    </row>
    <row r="26" ht="15.75" customHeight="1">
      <c r="A26" s="21">
        <v>20.0</v>
      </c>
      <c r="B26" s="21" t="s">
        <v>37</v>
      </c>
      <c r="C26" s="21" t="s">
        <v>140</v>
      </c>
      <c r="D26" s="22">
        <v>73.0</v>
      </c>
      <c r="E26" s="22" t="str">
        <f t="shared" si="1"/>
        <v>7.3</v>
      </c>
      <c r="F26" s="21">
        <v>86.0</v>
      </c>
      <c r="G26" s="22" t="str">
        <f t="shared" si="2"/>
        <v>8.6</v>
      </c>
      <c r="H26" s="22"/>
      <c r="I26" s="22" t="str">
        <f t="shared" si="3"/>
        <v>0</v>
      </c>
      <c r="J26" s="22"/>
      <c r="K26" s="23" t="str">
        <f t="shared" si="4"/>
        <v>0.00</v>
      </c>
      <c r="L26" s="24">
        <v>100.0</v>
      </c>
      <c r="M26" s="23" t="str">
        <f t="shared" si="5"/>
        <v>5.00</v>
      </c>
      <c r="N26" s="22">
        <v>100.0</v>
      </c>
      <c r="O26" s="23" t="str">
        <f t="shared" si="6"/>
        <v>5.00</v>
      </c>
      <c r="P26" s="23" t="str">
        <f t="shared" si="7"/>
        <v>25.90</v>
      </c>
      <c r="Q26" s="25" t="str">
        <f t="shared" si="8"/>
        <v>26</v>
      </c>
    </row>
    <row r="27" ht="15.75" customHeight="1">
      <c r="A27" s="21">
        <v>21.0</v>
      </c>
      <c r="B27" s="21" t="s">
        <v>39</v>
      </c>
      <c r="C27" s="21" t="s">
        <v>40</v>
      </c>
      <c r="D27" s="22">
        <v>33.0</v>
      </c>
      <c r="E27" s="22" t="str">
        <f t="shared" si="1"/>
        <v>3.3</v>
      </c>
      <c r="F27" s="21">
        <v>82.0</v>
      </c>
      <c r="G27" s="22" t="str">
        <f t="shared" si="2"/>
        <v>8.2</v>
      </c>
      <c r="H27" s="22"/>
      <c r="I27" s="22" t="str">
        <f t="shared" si="3"/>
        <v>0</v>
      </c>
      <c r="J27" s="22"/>
      <c r="K27" s="23" t="str">
        <f t="shared" si="4"/>
        <v>0.00</v>
      </c>
      <c r="L27" s="24">
        <v>100.0</v>
      </c>
      <c r="M27" s="23" t="str">
        <f t="shared" si="5"/>
        <v>5.00</v>
      </c>
      <c r="N27" s="22">
        <v>43.33</v>
      </c>
      <c r="O27" s="23" t="str">
        <f t="shared" si="6"/>
        <v>2.17</v>
      </c>
      <c r="P27" s="23" t="str">
        <f t="shared" si="7"/>
        <v>18.67</v>
      </c>
      <c r="Q27" s="25" t="str">
        <f t="shared" si="8"/>
        <v>19</v>
      </c>
    </row>
    <row r="28" ht="15.75" customHeight="1">
      <c r="A28" s="21">
        <v>22.0</v>
      </c>
      <c r="B28" s="21" t="s">
        <v>41</v>
      </c>
      <c r="C28" s="21" t="s">
        <v>141</v>
      </c>
      <c r="D28" s="22">
        <v>52.0</v>
      </c>
      <c r="E28" s="22" t="str">
        <f t="shared" si="1"/>
        <v>5.2</v>
      </c>
      <c r="F28" s="21">
        <v>60.0</v>
      </c>
      <c r="G28" s="22" t="str">
        <f t="shared" si="2"/>
        <v>6</v>
      </c>
      <c r="H28" s="22"/>
      <c r="I28" s="22" t="str">
        <f t="shared" si="3"/>
        <v>0</v>
      </c>
      <c r="J28" s="22"/>
      <c r="K28" s="23" t="str">
        <f t="shared" si="4"/>
        <v>0.00</v>
      </c>
      <c r="L28" s="24">
        <v>100.0</v>
      </c>
      <c r="M28" s="23" t="str">
        <f t="shared" si="5"/>
        <v>5.00</v>
      </c>
      <c r="N28" s="22">
        <v>53.33</v>
      </c>
      <c r="O28" s="23" t="str">
        <f t="shared" si="6"/>
        <v>2.67</v>
      </c>
      <c r="P28" s="23" t="str">
        <f t="shared" si="7"/>
        <v>18.87</v>
      </c>
      <c r="Q28" s="25" t="str">
        <f t="shared" si="8"/>
        <v>19</v>
      </c>
    </row>
    <row r="29" ht="15.75" customHeight="1">
      <c r="A29" s="21">
        <v>23.0</v>
      </c>
      <c r="B29" s="21" t="s">
        <v>43</v>
      </c>
      <c r="C29" s="21" t="s">
        <v>44</v>
      </c>
      <c r="D29" s="22">
        <v>30.0</v>
      </c>
      <c r="E29" s="22" t="str">
        <f t="shared" si="1"/>
        <v>3</v>
      </c>
      <c r="F29" s="21">
        <v>61.0</v>
      </c>
      <c r="G29" s="22" t="str">
        <f t="shared" si="2"/>
        <v>6.1</v>
      </c>
      <c r="H29" s="22"/>
      <c r="I29" s="22" t="str">
        <f t="shared" si="3"/>
        <v>0</v>
      </c>
      <c r="J29" s="22"/>
      <c r="K29" s="23" t="str">
        <f t="shared" si="4"/>
        <v>0.00</v>
      </c>
      <c r="L29" s="24">
        <v>100.0</v>
      </c>
      <c r="M29" s="23" t="str">
        <f t="shared" si="5"/>
        <v>5.00</v>
      </c>
      <c r="N29" s="22">
        <v>100.0</v>
      </c>
      <c r="O29" s="23" t="str">
        <f t="shared" si="6"/>
        <v>5.00</v>
      </c>
      <c r="P29" s="23" t="str">
        <f t="shared" si="7"/>
        <v>19.10</v>
      </c>
      <c r="Q29" s="25" t="str">
        <f t="shared" si="8"/>
        <v>19</v>
      </c>
    </row>
    <row r="30" ht="15.75" customHeight="1">
      <c r="A30" s="21">
        <v>24.0</v>
      </c>
      <c r="B30" s="21" t="s">
        <v>45</v>
      </c>
      <c r="C30" s="21" t="s">
        <v>46</v>
      </c>
      <c r="D30" s="22">
        <v>25.0</v>
      </c>
      <c r="E30" s="22" t="str">
        <f t="shared" si="1"/>
        <v>2.5</v>
      </c>
      <c r="F30" s="21">
        <v>61.0</v>
      </c>
      <c r="G30" s="22" t="str">
        <f t="shared" si="2"/>
        <v>6.1</v>
      </c>
      <c r="H30" s="22"/>
      <c r="I30" s="22" t="str">
        <f t="shared" si="3"/>
        <v>0</v>
      </c>
      <c r="J30" s="22"/>
      <c r="K30" s="23" t="str">
        <f t="shared" si="4"/>
        <v>0.00</v>
      </c>
      <c r="L30" s="24">
        <v>86.0</v>
      </c>
      <c r="M30" s="23" t="str">
        <f t="shared" si="5"/>
        <v>4.30</v>
      </c>
      <c r="N30" s="22">
        <v>60.0</v>
      </c>
      <c r="O30" s="23" t="str">
        <f t="shared" si="6"/>
        <v>3.00</v>
      </c>
      <c r="P30" s="23" t="str">
        <f t="shared" si="7"/>
        <v>15.90</v>
      </c>
      <c r="Q30" s="25" t="str">
        <f t="shared" si="8"/>
        <v>16</v>
      </c>
    </row>
    <row r="31" ht="15.75" customHeight="1">
      <c r="A31" s="21">
        <v>25.0</v>
      </c>
      <c r="B31" s="21" t="s">
        <v>47</v>
      </c>
      <c r="C31" s="21" t="s">
        <v>142</v>
      </c>
      <c r="D31" s="22">
        <v>85.0</v>
      </c>
      <c r="E31" s="22" t="str">
        <f t="shared" si="1"/>
        <v>8.5</v>
      </c>
      <c r="F31" s="21">
        <v>75.0</v>
      </c>
      <c r="G31" s="22" t="str">
        <f t="shared" si="2"/>
        <v>7.5</v>
      </c>
      <c r="H31" s="22"/>
      <c r="I31" s="22" t="str">
        <f t="shared" si="3"/>
        <v>0</v>
      </c>
      <c r="J31" s="22"/>
      <c r="K31" s="23" t="str">
        <f t="shared" si="4"/>
        <v>0.00</v>
      </c>
      <c r="L31" s="24">
        <v>95.0</v>
      </c>
      <c r="M31" s="23" t="str">
        <f t="shared" si="5"/>
        <v>4.75</v>
      </c>
      <c r="N31" s="22">
        <v>60.0</v>
      </c>
      <c r="O31" s="23" t="str">
        <f t="shared" si="6"/>
        <v>3.00</v>
      </c>
      <c r="P31" s="23" t="str">
        <f t="shared" si="7"/>
        <v>23.75</v>
      </c>
      <c r="Q31" s="25" t="str">
        <f t="shared" si="8"/>
        <v>24</v>
      </c>
    </row>
    <row r="32" ht="15.75" customHeight="1">
      <c r="A32" s="21">
        <v>26.0</v>
      </c>
      <c r="B32" s="21" t="s">
        <v>48</v>
      </c>
      <c r="C32" s="21" t="s">
        <v>49</v>
      </c>
      <c r="D32" s="22">
        <v>29.0</v>
      </c>
      <c r="E32" s="22" t="str">
        <f t="shared" si="1"/>
        <v>2.9</v>
      </c>
      <c r="F32" s="21">
        <v>80.0</v>
      </c>
      <c r="G32" s="22" t="str">
        <f t="shared" si="2"/>
        <v>8</v>
      </c>
      <c r="H32" s="22"/>
      <c r="I32" s="22" t="str">
        <f t="shared" si="3"/>
        <v>0</v>
      </c>
      <c r="J32" s="22"/>
      <c r="K32" s="23" t="str">
        <f t="shared" si="4"/>
        <v>0.00</v>
      </c>
      <c r="L32" s="24">
        <v>85.0</v>
      </c>
      <c r="M32" s="23" t="str">
        <f t="shared" si="5"/>
        <v>4.25</v>
      </c>
      <c r="N32" s="22">
        <v>36.67</v>
      </c>
      <c r="O32" s="23" t="str">
        <f t="shared" si="6"/>
        <v>1.83</v>
      </c>
      <c r="P32" s="23" t="str">
        <f t="shared" si="7"/>
        <v>16.98</v>
      </c>
      <c r="Q32" s="25" t="str">
        <f t="shared" si="8"/>
        <v>17</v>
      </c>
    </row>
    <row r="33" ht="15.75" customHeight="1">
      <c r="A33" s="21">
        <v>27.0</v>
      </c>
      <c r="B33" s="21" t="s">
        <v>50</v>
      </c>
      <c r="C33" s="21" t="s">
        <v>143</v>
      </c>
      <c r="D33" s="22">
        <v>76.0</v>
      </c>
      <c r="E33" s="22" t="str">
        <f t="shared" si="1"/>
        <v>7.6</v>
      </c>
      <c r="F33" s="21">
        <v>84.0</v>
      </c>
      <c r="G33" s="22" t="str">
        <f t="shared" si="2"/>
        <v>8.4</v>
      </c>
      <c r="H33" s="22"/>
      <c r="I33" s="22" t="str">
        <f t="shared" si="3"/>
        <v>0</v>
      </c>
      <c r="J33" s="22"/>
      <c r="K33" s="23" t="str">
        <f t="shared" si="4"/>
        <v>0.00</v>
      </c>
      <c r="L33" s="24">
        <v>98.33333333333333</v>
      </c>
      <c r="M33" s="23" t="str">
        <f t="shared" si="5"/>
        <v>4.92</v>
      </c>
      <c r="N33" s="22">
        <v>100.0</v>
      </c>
      <c r="O33" s="23" t="str">
        <f t="shared" si="6"/>
        <v>5.00</v>
      </c>
      <c r="P33" s="23" t="str">
        <f t="shared" si="7"/>
        <v>25.92</v>
      </c>
      <c r="Q33" s="25" t="str">
        <f t="shared" si="8"/>
        <v>26</v>
      </c>
    </row>
    <row r="34" ht="15.75" customHeight="1">
      <c r="A34" s="21">
        <v>28.0</v>
      </c>
      <c r="B34" s="21" t="s">
        <v>52</v>
      </c>
      <c r="C34" s="21" t="s">
        <v>53</v>
      </c>
      <c r="D34" s="22">
        <v>26.0</v>
      </c>
      <c r="E34" s="22" t="str">
        <f t="shared" si="1"/>
        <v>2.6</v>
      </c>
      <c r="F34" s="21">
        <v>44.0</v>
      </c>
      <c r="G34" s="22" t="str">
        <f t="shared" si="2"/>
        <v>4.4</v>
      </c>
      <c r="H34" s="22"/>
      <c r="I34" s="22" t="str">
        <f t="shared" si="3"/>
        <v>0</v>
      </c>
      <c r="J34" s="22"/>
      <c r="K34" s="23" t="str">
        <f t="shared" si="4"/>
        <v>0.00</v>
      </c>
      <c r="L34" s="24">
        <v>90.0</v>
      </c>
      <c r="M34" s="23" t="str">
        <f t="shared" si="5"/>
        <v>4.50</v>
      </c>
      <c r="N34" s="22">
        <v>60.0</v>
      </c>
      <c r="O34" s="23" t="str">
        <f t="shared" si="6"/>
        <v>3.00</v>
      </c>
      <c r="P34" s="23" t="str">
        <f t="shared" si="7"/>
        <v>14.50</v>
      </c>
      <c r="Q34" s="25" t="str">
        <f t="shared" si="8"/>
        <v>15</v>
      </c>
    </row>
    <row r="35" ht="15.75" customHeight="1">
      <c r="A35" s="21">
        <v>29.0</v>
      </c>
      <c r="B35" s="21" t="s">
        <v>54</v>
      </c>
      <c r="C35" s="21" t="s">
        <v>55</v>
      </c>
      <c r="D35" s="22">
        <v>57.0</v>
      </c>
      <c r="E35" s="22" t="str">
        <f t="shared" si="1"/>
        <v>5.7</v>
      </c>
      <c r="F35" s="21">
        <v>83.0</v>
      </c>
      <c r="G35" s="22" t="str">
        <f t="shared" si="2"/>
        <v>8.3</v>
      </c>
      <c r="H35" s="22"/>
      <c r="I35" s="22" t="str">
        <f t="shared" si="3"/>
        <v>0</v>
      </c>
      <c r="J35" s="22"/>
      <c r="K35" s="23" t="str">
        <f t="shared" si="4"/>
        <v>0.00</v>
      </c>
      <c r="L35" s="24">
        <v>95.0</v>
      </c>
      <c r="M35" s="23" t="str">
        <f t="shared" si="5"/>
        <v>4.75</v>
      </c>
      <c r="N35" s="22">
        <v>36.67</v>
      </c>
      <c r="O35" s="23" t="str">
        <f t="shared" si="6"/>
        <v>1.83</v>
      </c>
      <c r="P35" s="23" t="str">
        <f t="shared" si="7"/>
        <v>20.58</v>
      </c>
      <c r="Q35" s="25" t="str">
        <f t="shared" si="8"/>
        <v>21</v>
      </c>
    </row>
    <row r="36" ht="15.75" customHeight="1">
      <c r="A36" s="21">
        <v>30.0</v>
      </c>
      <c r="B36" s="21" t="s">
        <v>56</v>
      </c>
      <c r="C36" s="21" t="s">
        <v>144</v>
      </c>
      <c r="D36" s="22">
        <v>51.0</v>
      </c>
      <c r="E36" s="22" t="str">
        <f t="shared" si="1"/>
        <v>5.1</v>
      </c>
      <c r="F36" s="21">
        <v>79.0</v>
      </c>
      <c r="G36" s="22" t="str">
        <f t="shared" si="2"/>
        <v>7.9</v>
      </c>
      <c r="H36" s="22"/>
      <c r="I36" s="22" t="str">
        <f t="shared" si="3"/>
        <v>0</v>
      </c>
      <c r="J36" s="22"/>
      <c r="K36" s="23" t="str">
        <f t="shared" si="4"/>
        <v>0.00</v>
      </c>
      <c r="L36" s="24">
        <v>99.0</v>
      </c>
      <c r="M36" s="23" t="str">
        <f t="shared" si="5"/>
        <v>4.95</v>
      </c>
      <c r="N36" s="22">
        <v>76.67</v>
      </c>
      <c r="O36" s="23" t="str">
        <f t="shared" si="6"/>
        <v>3.83</v>
      </c>
      <c r="P36" s="23" t="str">
        <f t="shared" si="7"/>
        <v>21.78</v>
      </c>
      <c r="Q36" s="25" t="str">
        <f t="shared" si="8"/>
        <v>22</v>
      </c>
    </row>
    <row r="37" ht="15.75" customHeight="1">
      <c r="A37" s="21">
        <v>31.0</v>
      </c>
      <c r="B37" s="21" t="s">
        <v>58</v>
      </c>
      <c r="C37" s="21" t="s">
        <v>59</v>
      </c>
      <c r="D37" s="22">
        <v>24.0</v>
      </c>
      <c r="E37" s="22" t="str">
        <f t="shared" si="1"/>
        <v>2.4</v>
      </c>
      <c r="F37" s="21">
        <v>53.0</v>
      </c>
      <c r="G37" s="22" t="str">
        <f t="shared" si="2"/>
        <v>5.3</v>
      </c>
      <c r="H37" s="22"/>
      <c r="I37" s="22" t="str">
        <f t="shared" si="3"/>
        <v>0</v>
      </c>
      <c r="J37" s="22"/>
      <c r="K37" s="23" t="str">
        <f t="shared" si="4"/>
        <v>0.00</v>
      </c>
      <c r="L37" s="24">
        <v>89.0</v>
      </c>
      <c r="M37" s="23" t="str">
        <f t="shared" si="5"/>
        <v>4.45</v>
      </c>
      <c r="N37" s="22">
        <v>56.33</v>
      </c>
      <c r="O37" s="23" t="str">
        <f t="shared" si="6"/>
        <v>2.82</v>
      </c>
      <c r="P37" s="23" t="str">
        <f t="shared" si="7"/>
        <v>14.97</v>
      </c>
      <c r="Q37" s="25" t="str">
        <f t="shared" si="8"/>
        <v>15</v>
      </c>
    </row>
    <row r="38" ht="15.75" customHeight="1">
      <c r="A38" s="21">
        <v>32.0</v>
      </c>
      <c r="B38" s="21" t="s">
        <v>60</v>
      </c>
      <c r="C38" s="21" t="s">
        <v>61</v>
      </c>
      <c r="D38" s="22">
        <v>81.0</v>
      </c>
      <c r="E38" s="22" t="str">
        <f t="shared" si="1"/>
        <v>8.1</v>
      </c>
      <c r="F38" s="21">
        <v>76.0</v>
      </c>
      <c r="G38" s="22" t="str">
        <f t="shared" si="2"/>
        <v>7.6</v>
      </c>
      <c r="H38" s="22"/>
      <c r="I38" s="22" t="str">
        <f t="shared" si="3"/>
        <v>0</v>
      </c>
      <c r="J38" s="22"/>
      <c r="K38" s="23" t="str">
        <f t="shared" si="4"/>
        <v>0.00</v>
      </c>
      <c r="L38" s="24">
        <v>98.66666666666667</v>
      </c>
      <c r="M38" s="23" t="str">
        <f t="shared" si="5"/>
        <v>4.93</v>
      </c>
      <c r="N38" s="22">
        <v>36.67</v>
      </c>
      <c r="O38" s="23" t="str">
        <f t="shared" si="6"/>
        <v>1.83</v>
      </c>
      <c r="P38" s="23" t="str">
        <f t="shared" si="7"/>
        <v>22.47</v>
      </c>
      <c r="Q38" s="25" t="str">
        <f t="shared" si="8"/>
        <v>22</v>
      </c>
    </row>
    <row r="39" ht="15.75" customHeight="1">
      <c r="A39" s="21">
        <v>33.0</v>
      </c>
      <c r="B39" s="21" t="s">
        <v>62</v>
      </c>
      <c r="C39" s="21" t="s">
        <v>63</v>
      </c>
      <c r="D39" s="22">
        <v>63.0</v>
      </c>
      <c r="E39" s="22" t="str">
        <f t="shared" si="1"/>
        <v>6.3</v>
      </c>
      <c r="F39" s="21">
        <v>83.0</v>
      </c>
      <c r="G39" s="22" t="str">
        <f t="shared" si="2"/>
        <v>8.3</v>
      </c>
      <c r="H39" s="22"/>
      <c r="I39" s="22" t="str">
        <f t="shared" si="3"/>
        <v>0</v>
      </c>
      <c r="J39" s="22"/>
      <c r="K39" s="23" t="str">
        <f t="shared" si="4"/>
        <v>0.00</v>
      </c>
      <c r="L39" s="24">
        <v>87.66666666666666</v>
      </c>
      <c r="M39" s="23" t="str">
        <f t="shared" si="5"/>
        <v>4.38</v>
      </c>
      <c r="N39" s="22">
        <v>99.67</v>
      </c>
      <c r="O39" s="23" t="str">
        <f t="shared" si="6"/>
        <v>4.98</v>
      </c>
      <c r="P39" s="23" t="str">
        <f t="shared" si="7"/>
        <v>23.97</v>
      </c>
      <c r="Q39" s="25" t="str">
        <f t="shared" si="8"/>
        <v>24</v>
      </c>
    </row>
    <row r="40" ht="15.75" customHeight="1">
      <c r="A40" s="21">
        <v>34.0</v>
      </c>
      <c r="B40" s="21" t="s">
        <v>64</v>
      </c>
      <c r="C40" s="21" t="s">
        <v>65</v>
      </c>
      <c r="D40" s="22">
        <v>51.0</v>
      </c>
      <c r="E40" s="22" t="str">
        <f t="shared" si="1"/>
        <v>5.1</v>
      </c>
      <c r="F40" s="21">
        <v>67.0</v>
      </c>
      <c r="G40" s="22" t="str">
        <f t="shared" si="2"/>
        <v>6.7</v>
      </c>
      <c r="H40" s="22"/>
      <c r="I40" s="22" t="str">
        <f t="shared" si="3"/>
        <v>0</v>
      </c>
      <c r="J40" s="22"/>
      <c r="K40" s="23" t="str">
        <f t="shared" si="4"/>
        <v>0.00</v>
      </c>
      <c r="L40" s="24">
        <v>83.33333333333334</v>
      </c>
      <c r="M40" s="23" t="str">
        <f t="shared" si="5"/>
        <v>4.17</v>
      </c>
      <c r="N40" s="22">
        <v>100.0</v>
      </c>
      <c r="O40" s="23" t="str">
        <f t="shared" si="6"/>
        <v>5.00</v>
      </c>
      <c r="P40" s="23" t="str">
        <f t="shared" si="7"/>
        <v>20.97</v>
      </c>
      <c r="Q40" s="25" t="str">
        <f t="shared" si="8"/>
        <v>21</v>
      </c>
    </row>
    <row r="41" ht="15.75" customHeight="1">
      <c r="A41" s="21">
        <v>35.0</v>
      </c>
      <c r="B41" s="21" t="s">
        <v>66</v>
      </c>
      <c r="C41" s="21" t="s">
        <v>145</v>
      </c>
      <c r="D41" s="22">
        <v>53.0</v>
      </c>
      <c r="E41" s="22" t="str">
        <f t="shared" si="1"/>
        <v>5.3</v>
      </c>
      <c r="F41" s="21">
        <v>67.0</v>
      </c>
      <c r="G41" s="22" t="str">
        <f t="shared" si="2"/>
        <v>6.7</v>
      </c>
      <c r="H41" s="22"/>
      <c r="I41" s="22" t="str">
        <f t="shared" si="3"/>
        <v>0</v>
      </c>
      <c r="J41" s="22"/>
      <c r="K41" s="23" t="str">
        <f t="shared" si="4"/>
        <v>0.00</v>
      </c>
      <c r="L41" s="24">
        <v>92.0</v>
      </c>
      <c r="M41" s="23" t="str">
        <f t="shared" si="5"/>
        <v>4.60</v>
      </c>
      <c r="N41" s="22">
        <v>100.0</v>
      </c>
      <c r="O41" s="23" t="str">
        <f t="shared" si="6"/>
        <v>5.00</v>
      </c>
      <c r="P41" s="23" t="str">
        <f t="shared" si="7"/>
        <v>21.60</v>
      </c>
      <c r="Q41" s="25" t="str">
        <f t="shared" si="8"/>
        <v>22</v>
      </c>
    </row>
    <row r="42" ht="15.75" customHeight="1">
      <c r="A42" s="21">
        <v>36.0</v>
      </c>
      <c r="B42" s="21" t="s">
        <v>68</v>
      </c>
      <c r="C42" s="21" t="s">
        <v>69</v>
      </c>
      <c r="D42" s="22">
        <v>8.0</v>
      </c>
      <c r="E42" s="22" t="str">
        <f t="shared" si="1"/>
        <v>0.8</v>
      </c>
      <c r="F42" s="21">
        <v>38.0</v>
      </c>
      <c r="G42" s="22" t="str">
        <f t="shared" si="2"/>
        <v>3.8</v>
      </c>
      <c r="H42" s="22"/>
      <c r="I42" s="22" t="str">
        <f t="shared" si="3"/>
        <v>0</v>
      </c>
      <c r="J42" s="22"/>
      <c r="K42" s="23" t="str">
        <f t="shared" si="4"/>
        <v>0.00</v>
      </c>
      <c r="L42" s="24">
        <v>90.66666666666666</v>
      </c>
      <c r="M42" s="23" t="str">
        <f t="shared" si="5"/>
        <v>4.53</v>
      </c>
      <c r="N42" s="22">
        <v>100.0</v>
      </c>
      <c r="O42" s="23" t="str">
        <f t="shared" si="6"/>
        <v>5.00</v>
      </c>
      <c r="P42" s="23" t="str">
        <f t="shared" si="7"/>
        <v>14.13</v>
      </c>
      <c r="Q42" s="25" t="str">
        <f t="shared" si="8"/>
        <v>14</v>
      </c>
    </row>
    <row r="43" ht="15.75" customHeight="1">
      <c r="A43" s="21">
        <v>37.0</v>
      </c>
      <c r="B43" s="21" t="s">
        <v>70</v>
      </c>
      <c r="C43" s="21" t="s">
        <v>146</v>
      </c>
      <c r="D43" s="22">
        <v>0.0</v>
      </c>
      <c r="E43" s="22" t="str">
        <f t="shared" si="1"/>
        <v>0</v>
      </c>
      <c r="F43" s="21">
        <v>60.0</v>
      </c>
      <c r="G43" s="22" t="str">
        <f t="shared" si="2"/>
        <v>6</v>
      </c>
      <c r="H43" s="22"/>
      <c r="I43" s="22" t="str">
        <f t="shared" si="3"/>
        <v>0</v>
      </c>
      <c r="J43" s="22"/>
      <c r="K43" s="23" t="str">
        <f t="shared" si="4"/>
        <v>0.00</v>
      </c>
      <c r="L43" s="24">
        <v>87.0</v>
      </c>
      <c r="M43" s="23" t="str">
        <f t="shared" si="5"/>
        <v>4.35</v>
      </c>
      <c r="N43" s="22">
        <v>85.0</v>
      </c>
      <c r="O43" s="23" t="str">
        <f t="shared" si="6"/>
        <v>4.25</v>
      </c>
      <c r="P43" s="23" t="str">
        <f t="shared" si="7"/>
        <v>14.60</v>
      </c>
      <c r="Q43" s="25" t="str">
        <f t="shared" si="8"/>
        <v>15</v>
      </c>
    </row>
    <row r="44" ht="15.75" customHeight="1">
      <c r="A44" s="21">
        <v>38.0</v>
      </c>
      <c r="B44" s="21" t="s">
        <v>72</v>
      </c>
      <c r="C44" s="21" t="s">
        <v>147</v>
      </c>
      <c r="D44" s="22">
        <v>53.0</v>
      </c>
      <c r="E44" s="22" t="str">
        <f t="shared" si="1"/>
        <v>5.3</v>
      </c>
      <c r="F44" s="21">
        <v>58.0</v>
      </c>
      <c r="G44" s="22" t="str">
        <f t="shared" si="2"/>
        <v>5.8</v>
      </c>
      <c r="H44" s="22"/>
      <c r="I44" s="22" t="str">
        <f t="shared" si="3"/>
        <v>0</v>
      </c>
      <c r="J44" s="22"/>
      <c r="K44" s="23" t="str">
        <f t="shared" si="4"/>
        <v>0.00</v>
      </c>
      <c r="L44" s="24">
        <v>87.0</v>
      </c>
      <c r="M44" s="23" t="str">
        <f t="shared" si="5"/>
        <v>4.35</v>
      </c>
      <c r="N44" s="22">
        <v>75.0</v>
      </c>
      <c r="O44" s="23" t="str">
        <f t="shared" si="6"/>
        <v>3.75</v>
      </c>
      <c r="P44" s="23" t="str">
        <f t="shared" si="7"/>
        <v>19.20</v>
      </c>
      <c r="Q44" s="25" t="str">
        <f t="shared" si="8"/>
        <v>19</v>
      </c>
    </row>
    <row r="45" ht="15.75" customHeight="1">
      <c r="A45" s="21">
        <v>39.0</v>
      </c>
      <c r="B45" s="21" t="s">
        <v>74</v>
      </c>
      <c r="C45" s="21" t="s">
        <v>148</v>
      </c>
      <c r="D45" s="22">
        <v>6.0</v>
      </c>
      <c r="E45" s="22" t="str">
        <f t="shared" si="1"/>
        <v>0.6</v>
      </c>
      <c r="F45" s="21">
        <v>59.0</v>
      </c>
      <c r="G45" s="22" t="str">
        <f t="shared" si="2"/>
        <v>5.9</v>
      </c>
      <c r="H45" s="22"/>
      <c r="I45" s="22" t="str">
        <f t="shared" si="3"/>
        <v>0</v>
      </c>
      <c r="J45" s="22"/>
      <c r="K45" s="23" t="str">
        <f t="shared" si="4"/>
        <v>0.00</v>
      </c>
      <c r="L45" s="24">
        <v>88.0</v>
      </c>
      <c r="M45" s="23" t="str">
        <f t="shared" si="5"/>
        <v>4.40</v>
      </c>
      <c r="N45" s="22">
        <v>15.0</v>
      </c>
      <c r="O45" s="23" t="str">
        <f t="shared" si="6"/>
        <v>0.75</v>
      </c>
      <c r="P45" s="23" t="str">
        <f t="shared" si="7"/>
        <v>11.65</v>
      </c>
      <c r="Q45" s="25" t="str">
        <f t="shared" si="8"/>
        <v>12</v>
      </c>
    </row>
    <row r="46" ht="15.75" customHeight="1">
      <c r="A46" s="21">
        <v>40.0</v>
      </c>
      <c r="B46" s="21" t="s">
        <v>76</v>
      </c>
      <c r="C46" s="21" t="s">
        <v>77</v>
      </c>
      <c r="D46" s="22">
        <v>52.0</v>
      </c>
      <c r="E46" s="22" t="str">
        <f t="shared" si="1"/>
        <v>5.2</v>
      </c>
      <c r="F46" s="21">
        <v>66.0</v>
      </c>
      <c r="G46" s="22" t="str">
        <f t="shared" si="2"/>
        <v>6.6</v>
      </c>
      <c r="H46" s="22"/>
      <c r="I46" s="22" t="str">
        <f t="shared" si="3"/>
        <v>0</v>
      </c>
      <c r="J46" s="22"/>
      <c r="K46" s="23" t="str">
        <f t="shared" si="4"/>
        <v>0.00</v>
      </c>
      <c r="L46" s="24">
        <v>86.0</v>
      </c>
      <c r="M46" s="23" t="str">
        <f t="shared" si="5"/>
        <v>4.30</v>
      </c>
      <c r="N46" s="22">
        <v>80.0</v>
      </c>
      <c r="O46" s="23" t="str">
        <f t="shared" si="6"/>
        <v>4.00</v>
      </c>
      <c r="P46" s="23" t="str">
        <f t="shared" si="7"/>
        <v>20.10</v>
      </c>
      <c r="Q46" s="25" t="str">
        <f t="shared" si="8"/>
        <v>20</v>
      </c>
    </row>
    <row r="47" ht="15.75" customHeight="1">
      <c r="A47" s="21">
        <v>41.0</v>
      </c>
      <c r="B47" s="21" t="s">
        <v>78</v>
      </c>
      <c r="C47" s="21" t="s">
        <v>79</v>
      </c>
      <c r="D47" s="22">
        <v>22.0</v>
      </c>
      <c r="E47" s="22" t="str">
        <f t="shared" si="1"/>
        <v>2.2</v>
      </c>
      <c r="F47" s="21">
        <v>41.0</v>
      </c>
      <c r="G47" s="22" t="str">
        <f t="shared" si="2"/>
        <v>4.1</v>
      </c>
      <c r="H47" s="22"/>
      <c r="I47" s="22" t="str">
        <f t="shared" si="3"/>
        <v>0</v>
      </c>
      <c r="J47" s="22"/>
      <c r="K47" s="23" t="str">
        <f t="shared" si="4"/>
        <v>0.00</v>
      </c>
      <c r="L47" s="24">
        <v>100.0</v>
      </c>
      <c r="M47" s="23" t="str">
        <f t="shared" si="5"/>
        <v>5.00</v>
      </c>
      <c r="N47" s="22">
        <v>80.33</v>
      </c>
      <c r="O47" s="23" t="str">
        <f t="shared" si="6"/>
        <v>4.02</v>
      </c>
      <c r="P47" s="23" t="str">
        <f t="shared" si="7"/>
        <v>15.32</v>
      </c>
      <c r="Q47" s="25" t="str">
        <f t="shared" si="8"/>
        <v>15</v>
      </c>
    </row>
    <row r="48" ht="15.75" customHeight="1">
      <c r="A48" s="21">
        <v>42.0</v>
      </c>
      <c r="B48" s="21" t="s">
        <v>80</v>
      </c>
      <c r="C48" s="21" t="s">
        <v>81</v>
      </c>
      <c r="D48" s="22">
        <v>62.0</v>
      </c>
      <c r="E48" s="22" t="str">
        <f t="shared" si="1"/>
        <v>6.2</v>
      </c>
      <c r="F48" s="21">
        <v>80.0</v>
      </c>
      <c r="G48" s="22" t="str">
        <f t="shared" si="2"/>
        <v>8</v>
      </c>
      <c r="H48" s="22"/>
      <c r="I48" s="22" t="str">
        <f t="shared" si="3"/>
        <v>0</v>
      </c>
      <c r="J48" s="22"/>
      <c r="K48" s="23" t="str">
        <f t="shared" si="4"/>
        <v>0.00</v>
      </c>
      <c r="L48" s="24">
        <v>100.0</v>
      </c>
      <c r="M48" s="23" t="str">
        <f t="shared" si="5"/>
        <v>5.00</v>
      </c>
      <c r="N48" s="22">
        <v>100.0</v>
      </c>
      <c r="O48" s="23" t="str">
        <f t="shared" si="6"/>
        <v>5.00</v>
      </c>
      <c r="P48" s="23" t="str">
        <f t="shared" si="7"/>
        <v>24.20</v>
      </c>
      <c r="Q48" s="25" t="str">
        <f t="shared" si="8"/>
        <v>24</v>
      </c>
    </row>
    <row r="49" ht="15.75" customHeight="1">
      <c r="A49" s="21">
        <v>43.0</v>
      </c>
      <c r="B49" s="21" t="s">
        <v>82</v>
      </c>
      <c r="C49" s="21" t="s">
        <v>83</v>
      </c>
      <c r="D49" s="22">
        <v>83.0</v>
      </c>
      <c r="E49" s="22" t="str">
        <f t="shared" si="1"/>
        <v>8.3</v>
      </c>
      <c r="F49" s="21">
        <v>87.0</v>
      </c>
      <c r="G49" s="22" t="str">
        <f t="shared" si="2"/>
        <v>8.7</v>
      </c>
      <c r="H49" s="22"/>
      <c r="I49" s="22" t="str">
        <f t="shared" si="3"/>
        <v>0</v>
      </c>
      <c r="J49" s="22"/>
      <c r="K49" s="23" t="str">
        <f t="shared" si="4"/>
        <v>0.00</v>
      </c>
      <c r="L49" s="24">
        <v>98.0</v>
      </c>
      <c r="M49" s="23" t="str">
        <f t="shared" si="5"/>
        <v>4.90</v>
      </c>
      <c r="N49" s="22">
        <v>100.0</v>
      </c>
      <c r="O49" s="23" t="str">
        <f t="shared" si="6"/>
        <v>5.00</v>
      </c>
      <c r="P49" s="23" t="str">
        <f t="shared" si="7"/>
        <v>26.90</v>
      </c>
      <c r="Q49" s="25" t="str">
        <f t="shared" si="8"/>
        <v>27</v>
      </c>
    </row>
    <row r="50" ht="15.75" customHeight="1">
      <c r="A50" s="21">
        <v>44.0</v>
      </c>
      <c r="B50" s="21" t="s">
        <v>84</v>
      </c>
      <c r="C50" s="21" t="s">
        <v>149</v>
      </c>
      <c r="D50" s="22">
        <v>50.0</v>
      </c>
      <c r="E50" s="22" t="str">
        <f t="shared" si="1"/>
        <v>5</v>
      </c>
      <c r="F50" s="21">
        <v>72.0</v>
      </c>
      <c r="G50" s="22" t="str">
        <f t="shared" si="2"/>
        <v>7.2</v>
      </c>
      <c r="H50" s="22"/>
      <c r="I50" s="22" t="str">
        <f t="shared" si="3"/>
        <v>0</v>
      </c>
      <c r="J50" s="22"/>
      <c r="K50" s="23" t="str">
        <f t="shared" si="4"/>
        <v>0.00</v>
      </c>
      <c r="L50" s="24">
        <v>100.0</v>
      </c>
      <c r="M50" s="23" t="str">
        <f t="shared" si="5"/>
        <v>5.00</v>
      </c>
      <c r="N50" s="22">
        <v>40.0</v>
      </c>
      <c r="O50" s="23" t="str">
        <f t="shared" si="6"/>
        <v>2.00</v>
      </c>
      <c r="P50" s="23" t="str">
        <f t="shared" si="7"/>
        <v>19.20</v>
      </c>
      <c r="Q50" s="25" t="str">
        <f t="shared" si="8"/>
        <v>19</v>
      </c>
    </row>
    <row r="51" ht="15.75" customHeight="1">
      <c r="A51" s="21">
        <v>45.0</v>
      </c>
      <c r="B51" s="21" t="s">
        <v>86</v>
      </c>
      <c r="C51" s="21" t="s">
        <v>150</v>
      </c>
      <c r="D51" s="22">
        <v>50.0</v>
      </c>
      <c r="E51" s="22" t="str">
        <f t="shared" si="1"/>
        <v>5</v>
      </c>
      <c r="F51" s="21">
        <v>72.0</v>
      </c>
      <c r="G51" s="22" t="str">
        <f t="shared" si="2"/>
        <v>7.2</v>
      </c>
      <c r="H51" s="22"/>
      <c r="I51" s="22" t="str">
        <f t="shared" si="3"/>
        <v>0</v>
      </c>
      <c r="J51" s="22"/>
      <c r="K51" s="23" t="str">
        <f t="shared" si="4"/>
        <v>0.00</v>
      </c>
      <c r="L51" s="24">
        <v>93.0</v>
      </c>
      <c r="M51" s="23" t="str">
        <f t="shared" si="5"/>
        <v>4.65</v>
      </c>
      <c r="N51" s="22">
        <v>28.0</v>
      </c>
      <c r="O51" s="23" t="str">
        <f t="shared" si="6"/>
        <v>1.40</v>
      </c>
      <c r="P51" s="23" t="str">
        <f t="shared" si="7"/>
        <v>18.25</v>
      </c>
      <c r="Q51" s="25" t="str">
        <f t="shared" si="8"/>
        <v>18</v>
      </c>
    </row>
    <row r="52" ht="15.75" customHeight="1">
      <c r="A52" s="21">
        <v>46.0</v>
      </c>
      <c r="B52" s="21" t="s">
        <v>88</v>
      </c>
      <c r="C52" s="21" t="s">
        <v>89</v>
      </c>
      <c r="D52" s="22">
        <v>61.0</v>
      </c>
      <c r="E52" s="22" t="str">
        <f t="shared" si="1"/>
        <v>6.1</v>
      </c>
      <c r="F52" s="21">
        <v>79.0</v>
      </c>
      <c r="G52" s="22" t="str">
        <f t="shared" si="2"/>
        <v>7.9</v>
      </c>
      <c r="H52" s="22"/>
      <c r="I52" s="22" t="str">
        <f t="shared" si="3"/>
        <v>0</v>
      </c>
      <c r="J52" s="22"/>
      <c r="K52" s="23" t="str">
        <f t="shared" si="4"/>
        <v>0.00</v>
      </c>
      <c r="L52" s="24">
        <v>88.66666666666666</v>
      </c>
      <c r="M52" s="23" t="str">
        <f t="shared" si="5"/>
        <v>4.43</v>
      </c>
      <c r="N52" s="22">
        <v>35.33</v>
      </c>
      <c r="O52" s="23" t="str">
        <f t="shared" si="6"/>
        <v>1.77</v>
      </c>
      <c r="P52" s="23" t="str">
        <f t="shared" si="7"/>
        <v>20.20</v>
      </c>
      <c r="Q52" s="25" t="str">
        <f t="shared" si="8"/>
        <v>20</v>
      </c>
    </row>
    <row r="53" ht="15.75" customHeight="1">
      <c r="A53" s="21">
        <v>47.0</v>
      </c>
      <c r="B53" s="21" t="s">
        <v>90</v>
      </c>
      <c r="C53" s="21" t="s">
        <v>91</v>
      </c>
      <c r="D53" s="22">
        <v>34.0</v>
      </c>
      <c r="E53" s="22" t="str">
        <f t="shared" si="1"/>
        <v>3.4</v>
      </c>
      <c r="F53" s="21">
        <v>75.0</v>
      </c>
      <c r="G53" s="22" t="str">
        <f t="shared" si="2"/>
        <v>7.5</v>
      </c>
      <c r="H53" s="22"/>
      <c r="I53" s="22" t="str">
        <f t="shared" si="3"/>
        <v>0</v>
      </c>
      <c r="J53" s="22"/>
      <c r="K53" s="23" t="str">
        <f t="shared" si="4"/>
        <v>0.00</v>
      </c>
      <c r="L53" s="24">
        <v>92.66666666666666</v>
      </c>
      <c r="M53" s="23" t="str">
        <f t="shared" si="5"/>
        <v>4.63</v>
      </c>
      <c r="N53" s="22">
        <v>27.67</v>
      </c>
      <c r="O53" s="23" t="str">
        <f t="shared" si="6"/>
        <v>1.38</v>
      </c>
      <c r="P53" s="23" t="str">
        <f t="shared" si="7"/>
        <v>16.92</v>
      </c>
      <c r="Q53" s="25" t="str">
        <f t="shared" si="8"/>
        <v>17</v>
      </c>
    </row>
    <row r="54" ht="15.75" customHeight="1">
      <c r="A54" s="21">
        <v>48.0</v>
      </c>
      <c r="B54" s="21" t="s">
        <v>92</v>
      </c>
      <c r="C54" s="21" t="s">
        <v>93</v>
      </c>
      <c r="D54" s="22">
        <v>50.0</v>
      </c>
      <c r="E54" s="22" t="str">
        <f t="shared" si="1"/>
        <v>5</v>
      </c>
      <c r="F54" s="21">
        <v>52.0</v>
      </c>
      <c r="G54" s="22" t="str">
        <f t="shared" si="2"/>
        <v>5.2</v>
      </c>
      <c r="H54" s="22"/>
      <c r="I54" s="22" t="str">
        <f t="shared" si="3"/>
        <v>0</v>
      </c>
      <c r="J54" s="22"/>
      <c r="K54" s="23" t="str">
        <f t="shared" si="4"/>
        <v>0.00</v>
      </c>
      <c r="L54" s="24">
        <v>93.0</v>
      </c>
      <c r="M54" s="23" t="str">
        <f t="shared" si="5"/>
        <v>4.65</v>
      </c>
      <c r="N54" s="22">
        <v>60.0</v>
      </c>
      <c r="O54" s="23" t="str">
        <f t="shared" si="6"/>
        <v>3.00</v>
      </c>
      <c r="P54" s="23" t="str">
        <f t="shared" si="7"/>
        <v>17.85</v>
      </c>
      <c r="Q54" s="25" t="str">
        <f t="shared" si="8"/>
        <v>18</v>
      </c>
    </row>
    <row r="55" ht="15.75" customHeight="1">
      <c r="A55" s="21">
        <v>49.0</v>
      </c>
      <c r="B55" s="21" t="s">
        <v>94</v>
      </c>
      <c r="C55" s="21" t="s">
        <v>95</v>
      </c>
      <c r="D55" s="22">
        <v>50.0</v>
      </c>
      <c r="E55" s="22" t="str">
        <f t="shared" si="1"/>
        <v>5</v>
      </c>
      <c r="F55" s="21">
        <v>63.0</v>
      </c>
      <c r="G55" s="22" t="str">
        <f t="shared" si="2"/>
        <v>6.3</v>
      </c>
      <c r="H55" s="22"/>
      <c r="I55" s="22" t="str">
        <f t="shared" si="3"/>
        <v>0</v>
      </c>
      <c r="J55" s="22"/>
      <c r="K55" s="23" t="str">
        <f t="shared" si="4"/>
        <v>0.00</v>
      </c>
      <c r="L55" s="24">
        <v>89.66666666666666</v>
      </c>
      <c r="M55" s="23" t="str">
        <f t="shared" si="5"/>
        <v>4.48</v>
      </c>
      <c r="N55" s="22">
        <v>36.67</v>
      </c>
      <c r="O55" s="23" t="str">
        <f t="shared" si="6"/>
        <v>1.83</v>
      </c>
      <c r="P55" s="23" t="str">
        <f t="shared" si="7"/>
        <v>17.62</v>
      </c>
      <c r="Q55" s="25" t="str">
        <f t="shared" si="8"/>
        <v>18</v>
      </c>
    </row>
    <row r="56" ht="15.75" customHeight="1">
      <c r="A56" s="21">
        <v>50.0</v>
      </c>
      <c r="B56" s="21" t="s">
        <v>96</v>
      </c>
      <c r="C56" s="21" t="s">
        <v>151</v>
      </c>
      <c r="D56" s="22">
        <v>25.0</v>
      </c>
      <c r="E56" s="22" t="str">
        <f t="shared" si="1"/>
        <v>2.5</v>
      </c>
      <c r="F56" s="21">
        <v>61.0</v>
      </c>
      <c r="G56" s="22" t="str">
        <f t="shared" si="2"/>
        <v>6.1</v>
      </c>
      <c r="H56" s="22"/>
      <c r="I56" s="22" t="str">
        <f t="shared" si="3"/>
        <v>0</v>
      </c>
      <c r="J56" s="22"/>
      <c r="K56" s="23" t="str">
        <f t="shared" si="4"/>
        <v>0.00</v>
      </c>
      <c r="L56" s="24">
        <v>90.0</v>
      </c>
      <c r="M56" s="23" t="str">
        <f t="shared" si="5"/>
        <v>4.50</v>
      </c>
      <c r="N56" s="22">
        <v>1.33</v>
      </c>
      <c r="O56" s="23" t="str">
        <f t="shared" si="6"/>
        <v>0.07</v>
      </c>
      <c r="P56" s="23" t="str">
        <f t="shared" si="7"/>
        <v>13.17</v>
      </c>
      <c r="Q56" s="25" t="str">
        <f t="shared" si="8"/>
        <v>13</v>
      </c>
    </row>
    <row r="57" ht="15.75" customHeight="1">
      <c r="A57" s="21">
        <v>51.0</v>
      </c>
      <c r="B57" s="21" t="s">
        <v>98</v>
      </c>
      <c r="C57" s="21" t="s">
        <v>99</v>
      </c>
      <c r="D57" s="22">
        <v>31.0</v>
      </c>
      <c r="E57" s="22" t="str">
        <f t="shared" si="1"/>
        <v>3.1</v>
      </c>
      <c r="F57" s="21">
        <v>53.0</v>
      </c>
      <c r="G57" s="22" t="str">
        <f t="shared" si="2"/>
        <v>5.3</v>
      </c>
      <c r="H57" s="22"/>
      <c r="I57" s="22" t="str">
        <f t="shared" si="3"/>
        <v>0</v>
      </c>
      <c r="J57" s="22"/>
      <c r="K57" s="23" t="str">
        <f t="shared" si="4"/>
        <v>0.00</v>
      </c>
      <c r="L57" s="24">
        <v>90.0</v>
      </c>
      <c r="M57" s="23" t="str">
        <f t="shared" si="5"/>
        <v>4.50</v>
      </c>
      <c r="N57" s="22">
        <v>51.67</v>
      </c>
      <c r="O57" s="23" t="str">
        <f t="shared" si="6"/>
        <v>2.58</v>
      </c>
      <c r="P57" s="23" t="str">
        <f t="shared" si="7"/>
        <v>15.48</v>
      </c>
      <c r="Q57" s="25" t="str">
        <f t="shared" si="8"/>
        <v>15</v>
      </c>
    </row>
    <row r="58" ht="15.75" customHeight="1">
      <c r="A58" s="21">
        <v>52.0</v>
      </c>
      <c r="B58" s="21" t="s">
        <v>100</v>
      </c>
      <c r="C58" s="21" t="s">
        <v>101</v>
      </c>
      <c r="D58" s="22">
        <v>26.0</v>
      </c>
      <c r="E58" s="22" t="str">
        <f t="shared" si="1"/>
        <v>2.6</v>
      </c>
      <c r="F58" s="21">
        <v>58.0</v>
      </c>
      <c r="G58" s="22" t="str">
        <f t="shared" si="2"/>
        <v>5.8</v>
      </c>
      <c r="H58" s="22"/>
      <c r="I58" s="22" t="str">
        <f t="shared" si="3"/>
        <v>0</v>
      </c>
      <c r="J58" s="22"/>
      <c r="K58" s="23" t="str">
        <f t="shared" si="4"/>
        <v>0.00</v>
      </c>
      <c r="L58" s="24">
        <v>100.0</v>
      </c>
      <c r="M58" s="23" t="str">
        <f t="shared" si="5"/>
        <v>5.00</v>
      </c>
      <c r="N58" s="22">
        <v>65.0</v>
      </c>
      <c r="O58" s="23" t="str">
        <f t="shared" si="6"/>
        <v>3.25</v>
      </c>
      <c r="P58" s="23" t="str">
        <f t="shared" si="7"/>
        <v>16.65</v>
      </c>
      <c r="Q58" s="25" t="str">
        <f t="shared" si="8"/>
        <v>17</v>
      </c>
    </row>
    <row r="59" ht="15.75" customHeight="1">
      <c r="A59" s="21">
        <v>53.0</v>
      </c>
      <c r="B59" s="21" t="s">
        <v>102</v>
      </c>
      <c r="C59" s="21" t="s">
        <v>103</v>
      </c>
      <c r="D59" s="22">
        <v>68.0</v>
      </c>
      <c r="E59" s="22" t="str">
        <f t="shared" si="1"/>
        <v>6.8</v>
      </c>
      <c r="F59" s="21">
        <v>75.0</v>
      </c>
      <c r="G59" s="22" t="str">
        <f t="shared" si="2"/>
        <v>7.5</v>
      </c>
      <c r="H59" s="22"/>
      <c r="I59" s="22" t="str">
        <f t="shared" si="3"/>
        <v>0</v>
      </c>
      <c r="J59" s="22"/>
      <c r="K59" s="23" t="str">
        <f t="shared" si="4"/>
        <v>0.00</v>
      </c>
      <c r="L59" s="24">
        <v>100.0</v>
      </c>
      <c r="M59" s="23" t="str">
        <f t="shared" si="5"/>
        <v>5.00</v>
      </c>
      <c r="N59" s="22">
        <v>100.0</v>
      </c>
      <c r="O59" s="23" t="str">
        <f t="shared" si="6"/>
        <v>5.00</v>
      </c>
      <c r="P59" s="23" t="str">
        <f t="shared" si="7"/>
        <v>24.30</v>
      </c>
      <c r="Q59" s="25" t="str">
        <f t="shared" si="8"/>
        <v>24</v>
      </c>
    </row>
    <row r="60" ht="15.75" customHeight="1">
      <c r="A60" s="21">
        <v>54.0</v>
      </c>
      <c r="B60" s="21" t="s">
        <v>104</v>
      </c>
      <c r="C60" s="21" t="s">
        <v>105</v>
      </c>
      <c r="D60" s="22">
        <v>73.0</v>
      </c>
      <c r="E60" s="22" t="str">
        <f t="shared" si="1"/>
        <v>7.3</v>
      </c>
      <c r="F60" s="21">
        <v>78.0</v>
      </c>
      <c r="G60" s="22" t="str">
        <f t="shared" si="2"/>
        <v>7.8</v>
      </c>
      <c r="H60" s="22"/>
      <c r="I60" s="22" t="str">
        <f t="shared" si="3"/>
        <v>0</v>
      </c>
      <c r="J60" s="22"/>
      <c r="K60" s="23" t="str">
        <f t="shared" si="4"/>
        <v>0.00</v>
      </c>
      <c r="L60" s="24">
        <v>96.0</v>
      </c>
      <c r="M60" s="23" t="str">
        <f t="shared" si="5"/>
        <v>4.80</v>
      </c>
      <c r="N60" s="22">
        <v>100.0</v>
      </c>
      <c r="O60" s="23" t="str">
        <f t="shared" si="6"/>
        <v>5.00</v>
      </c>
      <c r="P60" s="23" t="str">
        <f t="shared" si="7"/>
        <v>24.90</v>
      </c>
      <c r="Q60" s="25" t="str">
        <f t="shared" si="8"/>
        <v>25</v>
      </c>
    </row>
    <row r="61" ht="15.75" customHeight="1">
      <c r="A61" s="21">
        <v>55.0</v>
      </c>
      <c r="B61" s="21" t="s">
        <v>106</v>
      </c>
      <c r="C61" s="21" t="s">
        <v>107</v>
      </c>
      <c r="D61" s="22">
        <v>41.0</v>
      </c>
      <c r="E61" s="22" t="str">
        <f t="shared" si="1"/>
        <v>4.1</v>
      </c>
      <c r="F61" s="21">
        <v>63.0</v>
      </c>
      <c r="G61" s="22" t="str">
        <f t="shared" si="2"/>
        <v>6.3</v>
      </c>
      <c r="H61" s="22"/>
      <c r="I61" s="22" t="str">
        <f t="shared" si="3"/>
        <v>0</v>
      </c>
      <c r="J61" s="22"/>
      <c r="K61" s="23" t="str">
        <f t="shared" si="4"/>
        <v>0.00</v>
      </c>
      <c r="L61" s="24">
        <v>100.0</v>
      </c>
      <c r="M61" s="23" t="str">
        <f t="shared" si="5"/>
        <v>5.00</v>
      </c>
      <c r="N61" s="22">
        <v>96.67</v>
      </c>
      <c r="O61" s="23" t="str">
        <f t="shared" si="6"/>
        <v>4.83</v>
      </c>
      <c r="P61" s="23" t="str">
        <f t="shared" si="7"/>
        <v>20.23</v>
      </c>
      <c r="Q61" s="25" t="str">
        <f t="shared" si="8"/>
        <v>20</v>
      </c>
    </row>
    <row r="62" ht="15.75" customHeight="1">
      <c r="A62" s="21">
        <v>56.0</v>
      </c>
      <c r="B62" s="21" t="s">
        <v>108</v>
      </c>
      <c r="C62" s="21" t="s">
        <v>109</v>
      </c>
      <c r="D62" s="22">
        <v>21.0</v>
      </c>
      <c r="E62" s="22" t="str">
        <f t="shared" si="1"/>
        <v>2.1</v>
      </c>
      <c r="F62" s="21">
        <v>40.0</v>
      </c>
      <c r="G62" s="22" t="str">
        <f t="shared" si="2"/>
        <v>4</v>
      </c>
      <c r="H62" s="22"/>
      <c r="I62" s="22" t="str">
        <f t="shared" si="3"/>
        <v>0</v>
      </c>
      <c r="J62" s="22"/>
      <c r="K62" s="23" t="str">
        <f t="shared" si="4"/>
        <v>0.00</v>
      </c>
      <c r="L62" s="24">
        <v>92.0</v>
      </c>
      <c r="M62" s="23" t="str">
        <f t="shared" si="5"/>
        <v>4.60</v>
      </c>
      <c r="N62" s="22">
        <v>97.0</v>
      </c>
      <c r="O62" s="23" t="str">
        <f t="shared" si="6"/>
        <v>4.85</v>
      </c>
      <c r="P62" s="23" t="str">
        <f t="shared" si="7"/>
        <v>15.55</v>
      </c>
      <c r="Q62" s="25" t="str">
        <f t="shared" si="8"/>
        <v>16</v>
      </c>
    </row>
    <row r="63" ht="15.75" customHeight="1">
      <c r="A63" s="21">
        <v>57.0</v>
      </c>
      <c r="B63" s="21" t="s">
        <v>110</v>
      </c>
      <c r="C63" s="21" t="s">
        <v>152</v>
      </c>
      <c r="D63" s="22">
        <v>82.0</v>
      </c>
      <c r="E63" s="22" t="str">
        <f t="shared" si="1"/>
        <v>8.2</v>
      </c>
      <c r="F63" s="21">
        <v>98.0</v>
      </c>
      <c r="G63" s="22" t="str">
        <f t="shared" si="2"/>
        <v>9.8</v>
      </c>
      <c r="H63" s="22"/>
      <c r="I63" s="22" t="str">
        <f t="shared" si="3"/>
        <v>0</v>
      </c>
      <c r="J63" s="22"/>
      <c r="K63" s="23" t="str">
        <f t="shared" si="4"/>
        <v>0.00</v>
      </c>
      <c r="L63" s="24">
        <v>100.0</v>
      </c>
      <c r="M63" s="23" t="str">
        <f t="shared" si="5"/>
        <v>5.00</v>
      </c>
      <c r="N63" s="22">
        <v>100.0</v>
      </c>
      <c r="O63" s="23" t="str">
        <f t="shared" si="6"/>
        <v>5.00</v>
      </c>
      <c r="P63" s="23" t="str">
        <f t="shared" si="7"/>
        <v>28.00</v>
      </c>
      <c r="Q63" s="25" t="str">
        <f t="shared" si="8"/>
        <v>28</v>
      </c>
    </row>
    <row r="64" ht="15.75" customHeight="1">
      <c r="A64" s="21">
        <v>58.0</v>
      </c>
      <c r="B64" s="21" t="s">
        <v>112</v>
      </c>
      <c r="C64" s="21" t="s">
        <v>113</v>
      </c>
      <c r="D64" s="22">
        <v>57.0</v>
      </c>
      <c r="E64" s="22" t="str">
        <f t="shared" si="1"/>
        <v>5.7</v>
      </c>
      <c r="F64" s="21">
        <v>74.0</v>
      </c>
      <c r="G64" s="22" t="str">
        <f t="shared" si="2"/>
        <v>7.4</v>
      </c>
      <c r="H64" s="22"/>
      <c r="I64" s="22" t="str">
        <f t="shared" si="3"/>
        <v>0</v>
      </c>
      <c r="J64" s="22"/>
      <c r="K64" s="23" t="str">
        <f t="shared" si="4"/>
        <v>0.00</v>
      </c>
      <c r="L64" s="24">
        <v>95.0</v>
      </c>
      <c r="M64" s="23" t="str">
        <f t="shared" si="5"/>
        <v>4.75</v>
      </c>
      <c r="N64" s="22">
        <v>100.0</v>
      </c>
      <c r="O64" s="23" t="str">
        <f t="shared" si="6"/>
        <v>5.00</v>
      </c>
      <c r="P64" s="23" t="str">
        <f t="shared" si="7"/>
        <v>22.85</v>
      </c>
      <c r="Q64" s="25" t="str">
        <f t="shared" si="8"/>
        <v>23</v>
      </c>
    </row>
    <row r="65" ht="15.75" customHeight="1">
      <c r="A65" s="21">
        <v>59.0</v>
      </c>
      <c r="B65" s="21" t="s">
        <v>114</v>
      </c>
      <c r="C65" s="21" t="s">
        <v>115</v>
      </c>
      <c r="D65" s="22">
        <v>22.0</v>
      </c>
      <c r="E65" s="22" t="str">
        <f t="shared" si="1"/>
        <v>2.2</v>
      </c>
      <c r="F65" s="21">
        <v>49.0</v>
      </c>
      <c r="G65" s="22" t="str">
        <f t="shared" si="2"/>
        <v>4.9</v>
      </c>
      <c r="H65" s="22"/>
      <c r="I65" s="22" t="str">
        <f t="shared" si="3"/>
        <v>0</v>
      </c>
      <c r="J65" s="22"/>
      <c r="K65" s="23" t="str">
        <f t="shared" si="4"/>
        <v>0.00</v>
      </c>
      <c r="L65" s="24">
        <v>87.0</v>
      </c>
      <c r="M65" s="23" t="str">
        <f t="shared" si="5"/>
        <v>4.35</v>
      </c>
      <c r="N65" s="22">
        <v>36.67</v>
      </c>
      <c r="O65" s="23" t="str">
        <f t="shared" si="6"/>
        <v>1.83</v>
      </c>
      <c r="P65" s="23" t="str">
        <f t="shared" si="7"/>
        <v>13.28</v>
      </c>
      <c r="Q65" s="25" t="str">
        <f t="shared" si="8"/>
        <v>13</v>
      </c>
    </row>
    <row r="66" ht="15.75" customHeight="1">
      <c r="A66" s="21">
        <v>60.0</v>
      </c>
      <c r="B66" s="21" t="s">
        <v>116</v>
      </c>
      <c r="C66" s="21" t="s">
        <v>117</v>
      </c>
      <c r="D66" s="22">
        <v>12.0</v>
      </c>
      <c r="E66" s="22" t="str">
        <f t="shared" si="1"/>
        <v>1.2</v>
      </c>
      <c r="F66" s="21">
        <v>16.0</v>
      </c>
      <c r="G66" s="22" t="str">
        <f t="shared" si="2"/>
        <v>1.6</v>
      </c>
      <c r="H66" s="22"/>
      <c r="I66" s="22" t="str">
        <f t="shared" si="3"/>
        <v>0</v>
      </c>
      <c r="J66" s="22"/>
      <c r="K66" s="23" t="str">
        <f t="shared" si="4"/>
        <v>0.00</v>
      </c>
      <c r="L66" s="24">
        <v>92.33333333333333</v>
      </c>
      <c r="M66" s="23" t="str">
        <f t="shared" si="5"/>
        <v>4.62</v>
      </c>
      <c r="N66" s="22">
        <v>0.0</v>
      </c>
      <c r="O66" s="23" t="str">
        <f t="shared" si="6"/>
        <v>0.00</v>
      </c>
      <c r="P66" s="23" t="str">
        <f t="shared" si="7"/>
        <v>7.42</v>
      </c>
      <c r="Q66" s="25" t="str">
        <f t="shared" si="8"/>
        <v>7</v>
      </c>
    </row>
    <row r="67" ht="15.75" customHeight="1">
      <c r="A67" s="21">
        <v>61.0</v>
      </c>
      <c r="B67" s="21" t="s">
        <v>118</v>
      </c>
      <c r="C67" s="21" t="s">
        <v>119</v>
      </c>
      <c r="D67" s="22">
        <v>24.0</v>
      </c>
      <c r="E67" s="22" t="str">
        <f t="shared" si="1"/>
        <v>2.4</v>
      </c>
      <c r="F67" s="21">
        <v>45.0</v>
      </c>
      <c r="G67" s="22" t="str">
        <f t="shared" si="2"/>
        <v>4.5</v>
      </c>
      <c r="H67" s="22"/>
      <c r="I67" s="22" t="str">
        <f t="shared" si="3"/>
        <v>0</v>
      </c>
      <c r="J67" s="22"/>
      <c r="K67" s="23" t="str">
        <f t="shared" si="4"/>
        <v>0.00</v>
      </c>
      <c r="L67" s="24">
        <v>90.0</v>
      </c>
      <c r="M67" s="23" t="str">
        <f t="shared" si="5"/>
        <v>4.50</v>
      </c>
      <c r="N67" s="22">
        <v>100.0</v>
      </c>
      <c r="O67" s="23" t="str">
        <f t="shared" si="6"/>
        <v>5.00</v>
      </c>
      <c r="P67" s="23" t="str">
        <f t="shared" si="7"/>
        <v>16.40</v>
      </c>
      <c r="Q67" s="25" t="str">
        <f t="shared" si="8"/>
        <v>16</v>
      </c>
    </row>
    <row r="68" ht="15.75" customHeight="1">
      <c r="A68" s="21">
        <v>62.0</v>
      </c>
      <c r="B68" s="21" t="s">
        <v>153</v>
      </c>
      <c r="C68" s="21" t="s">
        <v>121</v>
      </c>
      <c r="D68" s="22">
        <v>65.0</v>
      </c>
      <c r="E68" s="22" t="str">
        <f t="shared" si="1"/>
        <v>6.5</v>
      </c>
      <c r="F68" s="21">
        <v>87.0</v>
      </c>
      <c r="G68" s="22" t="str">
        <f t="shared" si="2"/>
        <v>8.7</v>
      </c>
      <c r="H68" s="22"/>
      <c r="I68" s="22" t="str">
        <f t="shared" si="3"/>
        <v>0</v>
      </c>
      <c r="J68" s="22"/>
      <c r="K68" s="23" t="str">
        <f t="shared" si="4"/>
        <v>0.00</v>
      </c>
      <c r="L68" s="24">
        <v>100.0</v>
      </c>
      <c r="M68" s="23" t="str">
        <f t="shared" si="5"/>
        <v>5.00</v>
      </c>
      <c r="N68" s="22">
        <v>33.33</v>
      </c>
      <c r="O68" s="23" t="str">
        <f t="shared" si="6"/>
        <v>1.67</v>
      </c>
      <c r="P68" s="23" t="str">
        <f t="shared" si="7"/>
        <v>21.87</v>
      </c>
      <c r="Q68" s="25" t="str">
        <f t="shared" si="8"/>
        <v>22</v>
      </c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</sheetData>
  <mergeCells count="8">
    <mergeCell ref="P5:P6"/>
    <mergeCell ref="Q5:Q6"/>
    <mergeCell ref="D5:E5"/>
    <mergeCell ref="F5:G5"/>
    <mergeCell ref="H5:I5"/>
    <mergeCell ref="J5:K5"/>
    <mergeCell ref="L5:M5"/>
    <mergeCell ref="N5:O5"/>
  </mergeCells>
  <conditionalFormatting sqref="F7:F68">
    <cfRule type="cellIs" dxfId="0" priority="1" operator="lessThan">
      <formula>50</formula>
    </cfRule>
  </conditionalFormatting>
  <conditionalFormatting sqref="D7:D68">
    <cfRule type="cellIs" dxfId="0" priority="2" operator="lessThan">
      <formula>50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presentation mark</vt:lpstr>
      <vt:lpstr>internal consoli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Magnificent</dc:creator>
  <cp:lastModifiedBy>staff</cp:lastModifiedBy>
  <cp:lastPrinted>2021-09-14T04:22:54Z</cp:lastPrinted>
  <dcterms:modified xsi:type="dcterms:W3CDTF">2022-07-12T04:07:49Z</dcterms:modified>
</cp:coreProperties>
</file>